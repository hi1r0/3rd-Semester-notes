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53E3FA7A-9283-413A-8F47-5F78E7E945FE}" xr6:coauthVersionLast="47" xr6:coauthVersionMax="47" xr10:uidLastSave="{00000000-0000-0000-0000-000000000000}"/>
  <bookViews>
    <workbookView xWindow="-120" yWindow="-120" windowWidth="29040" windowHeight="16440" activeTab="8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  <sheet name="11-09" sheetId="9" r:id="rId8"/>
    <sheet name="17-09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9" l="1"/>
  <c r="C3" i="9" s="1"/>
  <c r="D3" i="9" s="1"/>
  <c r="J6" i="9"/>
  <c r="J5" i="9"/>
  <c r="J4" i="9"/>
  <c r="J3" i="9"/>
  <c r="D32" i="8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C14" i="9" l="1"/>
  <c r="D14" i="9" s="1"/>
  <c r="K12" i="9"/>
  <c r="C10" i="9"/>
  <c r="D10" i="9" s="1"/>
  <c r="C6" i="9"/>
  <c r="D6" i="9" s="1"/>
  <c r="C13" i="9"/>
  <c r="D13" i="9" s="1"/>
  <c r="K11" i="9"/>
  <c r="C9" i="9"/>
  <c r="D9" i="9" s="1"/>
  <c r="C5" i="9"/>
  <c r="D5" i="9" s="1"/>
  <c r="C12" i="9"/>
  <c r="D12" i="9" s="1"/>
  <c r="K10" i="9"/>
  <c r="C8" i="9"/>
  <c r="D8" i="9" s="1"/>
  <c r="C4" i="9"/>
  <c r="D4" i="9" s="1"/>
  <c r="C11" i="9"/>
  <c r="D11" i="9" s="1"/>
  <c r="K9" i="9"/>
  <c r="C7" i="9"/>
  <c r="D7" i="9" s="1"/>
  <c r="B9" i="8"/>
  <c r="E3" i="7"/>
  <c r="D4" i="7" s="1"/>
  <c r="E4" i="7" s="1"/>
  <c r="F3" i="7"/>
  <c r="D17" i="5"/>
  <c r="F16" i="5"/>
  <c r="I5" i="8" l="1"/>
  <c r="I6" i="8"/>
  <c r="I3" i="8"/>
  <c r="I4" i="8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<sst xmlns="http://schemas.openxmlformats.org/spreadsheetml/2006/main" count="189" uniqueCount="77">
  <si>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</si>
  <si>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</si>
  <si>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</si>
  <si>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</si>
  <si>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</si>
  <si>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</si>
  <si>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</si>
  <si>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</si>
  <si>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</si>
  <si>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</si>
  <si>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</si>
  <si>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</si>
  <si>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</si>
  <si>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</si>
  <si>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</si>
  <si>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</si>
  <si>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</si>
  <si>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</si>
  <si>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</si>
  <si>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</si>
  <si>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</si>
  <si>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</si>
  <si>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</si>
  <si>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</si>
  <si>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</si>
  <si>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</si>
  <si>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</si>
  <si>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</si>
  <si>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</si>
  <si>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</si>
  <si>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</si>
  <si>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</si>
  <si>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</si>
  <si>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</si>
  <si>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</si>
  <si>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</si>
  <si>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</si>
  <si>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</si>
  <si>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</si>
  <si>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</si>
  <si>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</si>
  <si>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</si>
  <si>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</si>
  <si>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</si>
  <si>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</si>
  <si>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</si>
  <si>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</si>
  <si>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</si>
  <si>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</si>
  <si>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</si>
  <si>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</si>
  <si>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</si>
  <si>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</si>
  <si>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</si>
  <si>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</si>
  <si>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</si>
  <si>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</si>
  <si>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</si>
  <si>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</si>
  <si>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</si>
  <si>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</si>
  <si>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</si>
  <si>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</si>
  <si>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</si>
  <si>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</si>
  <si>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</si>
  <si>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</si>
  <si>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</si>
  <si>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</si>
  <si>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</si>
  <si>
    <t>QUARTER</t>
  </si>
  <si>
    <t>DSI</t>
  </si>
  <si>
    <t>Qn AVG</t>
  </si>
  <si>
    <t>RATIO-TO-MOVING-AVERAGE METHOD</t>
  </si>
  <si>
    <t>Y1</t>
  </si>
  <si>
    <t>Y2</t>
  </si>
  <si>
    <t>Additive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</si>
</sst>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0</xdr:row>
      <xdr:rowOff>0</xdr:rowOff>
    </xdr:from>
    <xdr:to>
      <xdr:col>15</xdr:col>
      <xdr:colOff>676956</xdr:colOff>
      <xdr:row>5</xdr:row>
      <xdr:rowOff>171600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0EE525-EDBE-D0C7-E9B4-22518ABF22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6475" y="0"/>
          <a:ext cx="4877481" cy="1076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A14" sqref="A14:F24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workbookViewId="0">
      <selection activeCell="A28" sqref="A28:I28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3" t="s">
        <v>58</v>
      </c>
      <c r="B1" s="33"/>
      <c r="C1" s="33"/>
      <c r="D1" s="33"/>
      <c r="E1" s="33"/>
      <c r="F1" s="33"/>
      <c r="G1" s="33"/>
      <c r="H1" s="33"/>
      <c r="I1" s="33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2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2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2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2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3" t="s">
        <v>60</v>
      </c>
      <c r="B12" s="33"/>
      <c r="C12" s="33"/>
      <c r="D12" s="33"/>
      <c r="E12" s="33"/>
      <c r="F12" s="33"/>
      <c r="G12" s="33"/>
      <c r="H12" s="33"/>
      <c r="I12" s="33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3" t="s">
        <v>65</v>
      </c>
      <c r="B21" s="33"/>
      <c r="C21" s="33"/>
      <c r="D21" s="33"/>
      <c r="E21" s="33"/>
      <c r="F21" s="33"/>
      <c r="G21" s="33"/>
      <c r="H21" s="33"/>
      <c r="I21" s="33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3" t="s">
        <v>66</v>
      </c>
      <c r="B28" s="33"/>
      <c r="C28" s="33"/>
      <c r="D28" s="33"/>
      <c r="E28" s="33"/>
      <c r="F28" s="33"/>
      <c r="G28" s="33"/>
      <c r="H28" s="33"/>
      <c r="I28" s="33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7D48-4F91-42E2-9B82-1240E1E85416}">
  <dimension ref="A1:K16"/>
  <sheetViews>
    <sheetView zoomScaleNormal="100" workbookViewId="0">
      <selection activeCell="H23" sqref="H23"/>
    </sheetView>
  </sheetViews>
  <sheetFormatPr defaultRowHeight="14.25"/>
  <sheetData>
    <row r="1" spans="1:11" ht="15">
      <c r="A1" s="33" t="s">
        <v>73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>
      <c r="A2" s="29" t="s">
        <v>70</v>
      </c>
      <c r="B2" s="29"/>
      <c r="C2" s="29" t="s">
        <v>43</v>
      </c>
      <c r="D2" s="29" t="s">
        <v>71</v>
      </c>
      <c r="E2" s="29"/>
      <c r="F2" s="29"/>
      <c r="G2" s="29"/>
      <c r="H2" s="29"/>
      <c r="I2" s="29"/>
      <c r="J2" s="29"/>
      <c r="K2" s="29"/>
    </row>
    <row r="3" spans="1:11">
      <c r="A3" s="29" t="s">
        <v>22</v>
      </c>
      <c r="B3" s="29">
        <v>4.8</v>
      </c>
      <c r="C3" s="29">
        <f>J3/B16</f>
        <v>0.90340136054421794</v>
      </c>
      <c r="D3" s="29">
        <f>B3/C3</f>
        <v>5.3132530120481913</v>
      </c>
      <c r="E3" s="29"/>
      <c r="F3" s="29"/>
      <c r="G3" s="29"/>
      <c r="H3" s="32" t="s">
        <v>72</v>
      </c>
      <c r="I3" s="29" t="s">
        <v>22</v>
      </c>
      <c r="J3" s="31">
        <f>(B3+B7+B11)/3</f>
        <v>5.5333333333333341</v>
      </c>
      <c r="K3" s="29"/>
    </row>
    <row r="4" spans="1:11">
      <c r="A4" s="29" t="s">
        <v>24</v>
      </c>
      <c r="B4" s="29">
        <v>4.0999999999999996</v>
      </c>
      <c r="C4" s="29">
        <f>J4/B16</f>
        <v>0.8108843537414967</v>
      </c>
      <c r="D4" s="29">
        <f t="shared" ref="D4:D14" si="0">B4/C4</f>
        <v>5.0562080536912744</v>
      </c>
      <c r="E4" s="29"/>
      <c r="F4" s="29"/>
      <c r="G4" s="29"/>
      <c r="H4" s="32"/>
      <c r="I4" s="29" t="s">
        <v>24</v>
      </c>
      <c r="J4" s="31">
        <f>(B4+B8+B12)/3</f>
        <v>4.9666666666666668</v>
      </c>
      <c r="K4" s="29"/>
    </row>
    <row r="5" spans="1:11">
      <c r="A5" s="29" t="s">
        <v>26</v>
      </c>
      <c r="B5" s="29">
        <v>6</v>
      </c>
      <c r="C5" s="29">
        <f>J5/B16</f>
        <v>1.1047619047619048</v>
      </c>
      <c r="D5" s="29">
        <f t="shared" si="0"/>
        <v>5.4310344827586201</v>
      </c>
      <c r="E5" s="29"/>
      <c r="F5" s="29"/>
      <c r="G5" s="29"/>
      <c r="H5" s="32"/>
      <c r="I5" s="29" t="s">
        <v>26</v>
      </c>
      <c r="J5" s="31">
        <f>(B5+B9+B13)/3</f>
        <v>6.7666666666666666</v>
      </c>
      <c r="K5" s="29"/>
    </row>
    <row r="6" spans="1:11">
      <c r="A6" s="29" t="s">
        <v>28</v>
      </c>
      <c r="B6" s="29">
        <v>6.5</v>
      </c>
      <c r="C6" s="29">
        <f>J6/B16</f>
        <v>1.1809523809523812</v>
      </c>
      <c r="D6" s="29">
        <f t="shared" si="0"/>
        <v>5.5040322580645151</v>
      </c>
      <c r="E6" s="29"/>
      <c r="F6" s="29"/>
      <c r="G6" s="29"/>
      <c r="H6" s="32"/>
      <c r="I6" s="29" t="s">
        <v>28</v>
      </c>
      <c r="J6" s="31">
        <f>(B6+B10+B14)/3</f>
        <v>7.2333333333333334</v>
      </c>
      <c r="K6" s="29"/>
    </row>
    <row r="7" spans="1:11">
      <c r="A7" s="29" t="s">
        <v>22</v>
      </c>
      <c r="B7" s="29">
        <v>5.8</v>
      </c>
      <c r="C7" s="29">
        <f>J3/B16</f>
        <v>0.90340136054421794</v>
      </c>
      <c r="D7" s="29">
        <f t="shared" si="0"/>
        <v>6.4201807228915646</v>
      </c>
      <c r="E7" s="29"/>
      <c r="F7" s="29"/>
      <c r="G7" s="29"/>
      <c r="H7" s="29"/>
      <c r="I7" s="29"/>
      <c r="J7" s="29"/>
      <c r="K7" s="29"/>
    </row>
    <row r="8" spans="1:11">
      <c r="A8" s="29" t="s">
        <v>24</v>
      </c>
      <c r="B8" s="29">
        <v>5.2</v>
      </c>
      <c r="C8" s="29">
        <f>J4/B16</f>
        <v>0.8108843537414967</v>
      </c>
      <c r="D8" s="29">
        <f t="shared" si="0"/>
        <v>6.4127516778523486</v>
      </c>
      <c r="E8" s="29"/>
      <c r="F8" s="29"/>
      <c r="G8" s="29"/>
      <c r="H8" s="29"/>
      <c r="I8" s="29"/>
      <c r="J8" s="29"/>
      <c r="K8" s="29"/>
    </row>
    <row r="9" spans="1:11">
      <c r="A9" s="29" t="s">
        <v>26</v>
      </c>
      <c r="B9" s="29">
        <v>6.8</v>
      </c>
      <c r="C9" s="29">
        <f>J5/B16</f>
        <v>1.1047619047619048</v>
      </c>
      <c r="D9" s="29">
        <f t="shared" si="0"/>
        <v>6.1551724137931032</v>
      </c>
      <c r="E9" s="29"/>
      <c r="F9" s="29"/>
      <c r="G9" s="29"/>
      <c r="H9" s="29"/>
      <c r="I9" s="32" t="s">
        <v>43</v>
      </c>
      <c r="J9" s="29" t="s">
        <v>22</v>
      </c>
      <c r="K9" s="29">
        <f>J3/B16</f>
        <v>0.90340136054421794</v>
      </c>
    </row>
    <row r="10" spans="1:11">
      <c r="A10" s="29" t="s">
        <v>28</v>
      </c>
      <c r="B10" s="29">
        <v>7.4</v>
      </c>
      <c r="C10" s="29">
        <f>J6/B16</f>
        <v>1.1809523809523812</v>
      </c>
      <c r="D10" s="29">
        <f t="shared" si="0"/>
        <v>6.2661290322580632</v>
      </c>
      <c r="E10" s="29"/>
      <c r="F10" s="29"/>
      <c r="G10" s="29"/>
      <c r="H10" s="29"/>
      <c r="I10" s="32"/>
      <c r="J10" s="29" t="s">
        <v>24</v>
      </c>
      <c r="K10" s="29">
        <f>J4/B16</f>
        <v>0.8108843537414967</v>
      </c>
    </row>
    <row r="11" spans="1:11">
      <c r="A11" s="29" t="s">
        <v>22</v>
      </c>
      <c r="B11" s="29">
        <v>6</v>
      </c>
      <c r="C11" s="29">
        <f>J3/B16</f>
        <v>0.90340136054421794</v>
      </c>
      <c r="D11" s="29">
        <f t="shared" si="0"/>
        <v>6.6415662650602387</v>
      </c>
      <c r="E11" s="29"/>
      <c r="F11" s="29"/>
      <c r="G11" s="29"/>
      <c r="H11" s="29"/>
      <c r="I11" s="32"/>
      <c r="J11" s="29" t="s">
        <v>26</v>
      </c>
      <c r="K11" s="29">
        <f>J5/B16</f>
        <v>1.1047619047619048</v>
      </c>
    </row>
    <row r="12" spans="1:11">
      <c r="A12" s="29" t="s">
        <v>24</v>
      </c>
      <c r="B12" s="29">
        <v>5.6</v>
      </c>
      <c r="C12" s="29">
        <f>J4/B16</f>
        <v>0.8108843537414967</v>
      </c>
      <c r="D12" s="29">
        <f t="shared" si="0"/>
        <v>6.9060402684563744</v>
      </c>
      <c r="E12" s="29"/>
      <c r="F12" s="29"/>
      <c r="G12" s="29"/>
      <c r="H12" s="29"/>
      <c r="I12" s="32"/>
      <c r="J12" s="29" t="s">
        <v>28</v>
      </c>
      <c r="K12" s="29">
        <f>J6/B16</f>
        <v>1.1809523809523812</v>
      </c>
    </row>
    <row r="13" spans="1:11">
      <c r="A13" s="29" t="s">
        <v>26</v>
      </c>
      <c r="B13" s="29">
        <v>7.5</v>
      </c>
      <c r="C13" s="29">
        <f>J5/B16</f>
        <v>1.1047619047619048</v>
      </c>
      <c r="D13" s="29">
        <f t="shared" si="0"/>
        <v>6.7887931034482758</v>
      </c>
      <c r="E13" s="29"/>
      <c r="F13" s="29"/>
      <c r="G13" s="29"/>
      <c r="H13" s="29"/>
      <c r="I13" s="29"/>
      <c r="J13" s="29"/>
      <c r="K13" s="29"/>
    </row>
    <row r="14" spans="1:11">
      <c r="A14" s="29" t="s">
        <v>28</v>
      </c>
      <c r="B14" s="29">
        <v>7.8</v>
      </c>
      <c r="C14" s="29">
        <f>J6/B16</f>
        <v>1.1809523809523812</v>
      </c>
      <c r="D14" s="29">
        <f t="shared" si="0"/>
        <v>6.6048387096774182</v>
      </c>
      <c r="E14" s="29"/>
      <c r="F14" s="29"/>
      <c r="G14" s="29"/>
      <c r="H14" s="29"/>
      <c r="I14" s="29"/>
      <c r="J14" s="29"/>
      <c r="K14" s="29"/>
    </row>
    <row r="15" spans="1:1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29"/>
      <c r="B16" s="29">
        <f>AVERAGE(B3:B14)</f>
        <v>6.1249999999999991</v>
      </c>
      <c r="C16" s="29"/>
      <c r="D16" s="29"/>
      <c r="E16" s="29"/>
      <c r="F16" s="29"/>
      <c r="G16" s="29"/>
      <c r="H16" s="29"/>
      <c r="I16" s="29"/>
      <c r="J16" s="29"/>
      <c r="K16" s="29"/>
    </row>
  </sheetData>
  <mergeCells count="3">
    <mergeCell ref="H3:H6"/>
    <mergeCell ref="I9:I12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482D-4E60-40E4-A3CA-59F54D2287F5}">
  <dimension ref="A1:F9"/>
  <sheetViews>
    <sheetView tabSelected="1" workbookViewId="0">
      <selection activeCell="E7" sqref="E7"/>
    </sheetView>
  </sheetViews>
  <sheetFormatPr defaultRowHeight="14.25"/>
  <cols>
    <col min="1" max="16384" width="9" style="26"/>
  </cols>
  <sheetData>
    <row r="1" spans="1:6">
      <c r="A1" s="32" t="s">
        <v>76</v>
      </c>
      <c r="B1" s="32"/>
      <c r="C1" s="32"/>
      <c r="D1" s="32"/>
      <c r="E1" s="32"/>
      <c r="F1" s="32"/>
    </row>
    <row r="2" spans="1:6">
      <c r="A2" s="32" t="s">
        <v>74</v>
      </c>
      <c r="B2" s="26" t="s">
        <v>22</v>
      </c>
      <c r="C2" s="26">
        <v>100</v>
      </c>
    </row>
    <row r="3" spans="1:6">
      <c r="A3" s="32"/>
      <c r="B3" s="26" t="s">
        <v>24</v>
      </c>
      <c r="C3" s="26">
        <v>120</v>
      </c>
    </row>
    <row r="4" spans="1:6">
      <c r="A4" s="32"/>
      <c r="B4" s="26" t="s">
        <v>26</v>
      </c>
      <c r="C4" s="26">
        <v>110</v>
      </c>
    </row>
    <row r="5" spans="1:6">
      <c r="A5" s="32"/>
      <c r="B5" s="26" t="s">
        <v>28</v>
      </c>
      <c r="C5" s="26">
        <v>130</v>
      </c>
    </row>
    <row r="6" spans="1:6">
      <c r="A6" s="32" t="s">
        <v>75</v>
      </c>
      <c r="B6" s="26" t="s">
        <v>22</v>
      </c>
      <c r="C6" s="26">
        <v>110</v>
      </c>
    </row>
    <row r="7" spans="1:6">
      <c r="A7" s="32"/>
      <c r="B7" s="26" t="s">
        <v>24</v>
      </c>
      <c r="C7" s="26">
        <v>130</v>
      </c>
      <c r="E7" s="26">
        <v>5</v>
      </c>
    </row>
    <row r="8" spans="1:6">
      <c r="A8" s="32"/>
      <c r="B8" s="26" t="s">
        <v>26</v>
      </c>
      <c r="C8" s="26">
        <v>120</v>
      </c>
    </row>
    <row r="9" spans="1:6">
      <c r="A9" s="32"/>
      <c r="B9" s="26" t="s">
        <v>28</v>
      </c>
      <c r="C9" s="26">
        <v>140</v>
      </c>
    </row>
  </sheetData>
  <mergeCells count="3">
    <mergeCell ref="A2:A5"/>
    <mergeCell ref="A6:A9"/>
    <mergeCell ref="A1:F1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Moving Average</vt:lpstr>
      <vt:lpstr>Sheet1</vt:lpstr>
      <vt:lpstr>03-09</vt:lpstr>
      <vt:lpstr>04-09</vt:lpstr>
      <vt:lpstr>07-09</vt:lpstr>
      <vt:lpstr>09-09</vt:lpstr>
      <vt:lpstr>10-09</vt:lpstr>
      <vt:lpstr>11-09</vt:lpstr>
      <vt:lpstr>17-09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2026-09-17T08:57:37Z</dcterms:modified>
</cp:coreProperties>
</file>