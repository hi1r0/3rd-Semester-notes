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49C4E6BD-F7BA-4AB1-9540-8C71E16A1116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Sheet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5" l="1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D17" i="5" l="1"/>
  <c r="F16" i="5"/>
  <c r="E17" i="5" l="1"/>
  <c r="D18" i="5" s="1"/>
  <c r="F17" i="5"/>
  <c r="E18" i="5" l="1"/>
  <c r="F18" i="5" s="1"/>
  <c r="D19" i="5"/>
  <c r="D20" i="5" l="1"/>
  <c r="F19" i="5"/>
  <c r="E19" i="5"/>
  <c r="E20" i="5" l="1"/>
  <c r="D21" i="5" l="1"/>
  <c r="F20" i="5"/>
  <c r="E21" i="5" l="1"/>
  <c r="F21" i="5" l="1"/>
  <c r="D22" i="5"/>
  <c r="E22" i="5" l="1"/>
  <c r="D23" i="5" l="1"/>
  <c r="F22" i="5"/>
  <c r="E23" i="5" l="1"/>
  <c r="F23" i="5" l="1"/>
  <c r="D24" i="5"/>
  <c r="F24" i="5" l="1"/>
  <c r="E24" i="5"/>
</calcChain>
</file>

<file path=xl/sharedStrings.xml><?xml version="1.0" encoding="utf-8"?>
<sst xmlns="http://schemas.openxmlformats.org/spreadsheetml/2006/main" count="118" uniqueCount="56">
  <si>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</si>
  <si>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</si>
  <si>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</si>
  <si>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</si>
  <si>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</si>
  <si>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</si>
  <si>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</si>
  <si>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</si>
  <si>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</si>
  <si>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</si>
  <si>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</si>
  <si>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</si>
  <si>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</si>
  <si>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</si>
  <si>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</si>
  <si>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</si>
  <si>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</si>
  <si>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</si>
  <si>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</si>
  <si>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</si>
  <si>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</si>
  <si>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</si>
  <si>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</si>
  <si>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</si>
  <si>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</si>
  <si>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</si>
  <si>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</si>
  <si>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</si>
  <si>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</si>
  <si>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</si>
  <si>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</si>
  <si>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</si>
  <si>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</si>
  <si>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</si>
  <si>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</si>
  <si>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</si>
  <si>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</si>
  <si>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</si>
  <si>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</si>
  <si>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</si>
  <si>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</si>
  <si>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</si>
  <si>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</si>
  <si>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</si>
  <si>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</si>
  <si>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</si>
  <si>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</si>
  <si>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</si>
  <si>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</si>
  <si>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</si>
  <si>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</si>
  <si>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</si>
  <si>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</si>
  <si>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Smoothed / Level</t>
  </si>
  <si>
    <t>Trend</t>
  </si>
  <si>
    <t>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</si>
</sst>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Font="1" applyAlignment="1">
      <alignment horizontal="center" vertical="center"/>
    </xf>
    <xf numFmtId="2" fontId="4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tabSelected="1" workbookViewId="0">
      <selection activeCell="D16" sqref="D16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s="26" t="s">
        <v>53</v>
      </c>
      <c r="E14" s="26" t="s">
        <v>54</v>
      </c>
      <c r="F14" s="26" t="s">
        <v>55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>0.8*C16+0.2*(D15+E15)</f>
        <v>1499</v>
      </c>
      <c r="E16" s="27">
        <f>0.4*(D16-D15)+0.6*E15</f>
        <v>48</v>
      </c>
      <c r="F16" s="27">
        <f>D16+E16</f>
        <v>1547</v>
      </c>
    </row>
    <row r="17" spans="1:6">
      <c r="A17" s="20">
        <v>3</v>
      </c>
      <c r="B17" s="20">
        <v>2012</v>
      </c>
      <c r="C17" s="20">
        <v>1686</v>
      </c>
      <c r="D17" s="27">
        <f>0.8*C17+0.2*(D16+E16)</f>
        <v>1658.2000000000003</v>
      </c>
      <c r="E17" s="27">
        <f>0.4*(D17-D16)+0.6*E16</f>
        <v>92.480000000000103</v>
      </c>
      <c r="F17" s="27">
        <f>D17+E17</f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>0.8*C18+0.2*(D17+E17)</f>
        <v>1761.3360000000002</v>
      </c>
      <c r="E18" s="27">
        <f>0.4*(D18-D17)+0.6*E17</f>
        <v>96.74240000000006</v>
      </c>
      <c r="F18" s="27">
        <f>D18+E18</f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>0.8*C19+0.2*(D18+E18)</f>
        <v>1874.8156800000002</v>
      </c>
      <c r="E19" s="27">
        <f>0.4*(D19-D18)+0.6*E18</f>
        <v>103.43731200000001</v>
      </c>
      <c r="F19" s="27">
        <f>D19+E19</f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>0.8*C20+0.2*(D19+E19)</f>
        <v>1954.0505984000001</v>
      </c>
      <c r="E20" s="27">
        <f>0.4*(D20-D19)+0.6*E19</f>
        <v>93.756354559999991</v>
      </c>
      <c r="F20" s="27">
        <f>D20+E20</f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>0.8*C21+0.2*(D20+E20)</f>
        <v>2019.961390592</v>
      </c>
      <c r="E21" s="27">
        <f>0.4*(D21-D20)+0.6*E20</f>
        <v>82.618129612799962</v>
      </c>
      <c r="F21" s="27">
        <f>D21+E21</f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>0.8*C22+0.2*(D21+E21)</f>
        <v>2092.5159040409599</v>
      </c>
      <c r="E22" s="27">
        <f>0.4*(D22-D21)+0.6*E21</f>
        <v>78.592683147263898</v>
      </c>
      <c r="F22" s="27">
        <f>D22+E22</f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>0.8*C23+0.2*(D22+E22)</f>
        <v>2172.6217174376447</v>
      </c>
      <c r="E23" s="27">
        <f>0.4*(D23-D22)+0.6*E22</f>
        <v>79.197935247032291</v>
      </c>
      <c r="F23" s="27">
        <f>D23+E23</f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>0.8*C24+0.2*(D23+E23)</f>
        <v>2279.1639305369354</v>
      </c>
      <c r="E24" s="27">
        <f>0.4*(D24-D23)+0.6*E23</f>
        <v>90.135646387935623</v>
      </c>
      <c r="F24" s="27">
        <f>D24+E24</f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4AC6-6CB4-4F9B-9462-B818885DA0E0}">
  <dimension ref="A1"/>
  <sheetViews>
    <sheetView workbookViewId="0">
      <selection sqref="A1:F11"/>
    </sheetView>
  </sheetViews>
  <sheetFormatPr defaultRowHeight="14.25"/>
  <cols>
    <col min="1" max="1" width="4.75" bestFit="1" customWidth="1"/>
    <col min="2" max="2" width="5" bestFit="1" customWidth="1"/>
    <col min="3" max="3" width="5.75" bestFit="1" customWidth="1"/>
    <col min="4" max="4" width="16.5" bestFit="1" customWidth="1"/>
    <col min="5" max="6" width="10.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Moving Average</vt:lpstr>
      <vt:lpstr>Sheet1</vt:lpstr>
      <vt:lpstr>03-09</vt:lpstr>
      <vt:lpstr>04-09</vt:lpstr>
      <vt:lpstr>07-09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2026-09-08T08:35:34Z</dcterms:modified>
</cp:coreProperties>
</file>