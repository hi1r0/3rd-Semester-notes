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SQF\Semester III\Time Series\"/>
    </mc:Choice>
  </mc:AlternateContent>
  <xr:revisionPtr revIDLastSave="0" documentId="13_ncr:1_{F8BECB8D-BC4B-48E4-A6EE-7AA0953E898E}" xr6:coauthVersionLast="47" xr6:coauthVersionMax="47" xr10:uidLastSave="{00000000-0000-0000-0000-000000000000}"/>
  <bookViews>
    <workbookView xWindow="-120" yWindow="-120" windowWidth="29040" windowHeight="16440" activeTab="5" xr2:uid="{00000000-000D-0000-FFFF-FFFF00000000}"/>
  </bookViews>
  <sheets>
    <sheet name="Moving Average" sheetId="1" r:id="rId1"/>
    <sheet name="Sheet1" sheetId="2" r:id="rId2"/>
    <sheet name="03-09" sheetId="3" r:id="rId3"/>
    <sheet name="04-09" sheetId="4" r:id="rId4"/>
    <sheet name="07-09" sheetId="5" r:id="rId5"/>
    <sheet name="09-09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7" l="1"/>
  <c r="E2" i="7"/>
  <c r="D2" i="7"/>
  <c r="D3" i="7" s="1"/>
  <c r="D15" i="5"/>
  <c r="E15" i="5"/>
  <c r="F15" i="5"/>
  <c r="D16" i="5"/>
  <c r="E16" i="5" s="1"/>
  <c r="D3" i="5"/>
  <c r="E3" i="5" s="1"/>
  <c r="D2" i="5"/>
  <c r="H29" i="4"/>
  <c r="H28" i="4"/>
  <c r="H27" i="4"/>
  <c r="H26" i="4"/>
  <c r="H25" i="4"/>
  <c r="E24" i="4"/>
  <c r="E25" i="4"/>
  <c r="E26" i="4"/>
  <c r="E27" i="4"/>
  <c r="E28" i="4"/>
  <c r="E29" i="4"/>
  <c r="E30" i="4"/>
  <c r="E31" i="4"/>
  <c r="E32" i="4"/>
  <c r="E33" i="4"/>
  <c r="E34" i="4"/>
  <c r="E23" i="4"/>
  <c r="D24" i="4"/>
  <c r="D25" i="4"/>
  <c r="D26" i="4"/>
  <c r="D27" i="4"/>
  <c r="D28" i="4"/>
  <c r="D29" i="4"/>
  <c r="D30" i="4"/>
  <c r="D31" i="4"/>
  <c r="D32" i="4"/>
  <c r="D33" i="4"/>
  <c r="D34" i="4"/>
  <c r="D23" i="4"/>
  <c r="B18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2" i="4"/>
  <c r="C25" i="4"/>
  <c r="C26" i="4"/>
  <c r="C27" i="4"/>
  <c r="C28" i="4"/>
  <c r="C29" i="4"/>
  <c r="C30" i="4"/>
  <c r="C31" i="4"/>
  <c r="C32" i="4"/>
  <c r="C33" i="4"/>
  <c r="C34" i="4"/>
  <c r="C35" i="4"/>
  <c r="C36" i="4"/>
  <c r="C24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2" i="4"/>
  <c r="F14" i="3"/>
  <c r="F8" i="3"/>
  <c r="F9" i="3" s="1"/>
  <c r="F10" i="3" s="1"/>
  <c r="F11" i="3" s="1"/>
  <c r="F12" i="3" s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6" i="2"/>
  <c r="G5" i="2"/>
  <c r="F6" i="2"/>
  <c r="F5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E6" i="2"/>
  <c r="E5" i="2"/>
  <c r="E7" i="2"/>
  <c r="E8" i="2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C13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D4" i="1"/>
  <c r="C4" i="1"/>
  <c r="C3" i="1"/>
  <c r="E3" i="7" l="1"/>
  <c r="D4" i="7" s="1"/>
  <c r="E4" i="7" s="1"/>
  <c r="F3" i="7"/>
  <c r="D17" i="5"/>
  <c r="F16" i="5"/>
  <c r="F4" i="7" l="1"/>
  <c r="D5" i="7"/>
  <c r="E5" i="7" s="1"/>
  <c r="E17" i="5"/>
  <c r="D18" i="5" s="1"/>
  <c r="F17" i="5"/>
  <c r="E18" i="5" l="1"/>
  <c r="F18" i="5" s="1"/>
  <c r="D19" i="5"/>
  <c r="D6" i="7" l="1"/>
  <c r="E6" i="7" s="1"/>
  <c r="F5" i="7"/>
  <c r="D20" i="5"/>
  <c r="F19" i="5"/>
  <c r="E19" i="5"/>
  <c r="E20" i="5" l="1"/>
  <c r="F6" i="7" l="1"/>
  <c r="D7" i="7"/>
  <c r="E7" i="7" s="1"/>
  <c r="D21" i="5"/>
  <c r="F20" i="5"/>
  <c r="E21" i="5" l="1"/>
  <c r="D8" i="7" l="1"/>
  <c r="E8" i="7" s="1"/>
  <c r="F7" i="7"/>
  <c r="F21" i="5"/>
  <c r="D22" i="5"/>
  <c r="E22" i="5" l="1"/>
  <c r="F8" i="7" l="1"/>
  <c r="D9" i="7"/>
  <c r="E9" i="7" s="1"/>
  <c r="D23" i="5"/>
  <c r="F22" i="5"/>
  <c r="F9" i="7" l="1"/>
  <c r="D10" i="7"/>
  <c r="E10" i="7" s="1"/>
  <c r="E23" i="5"/>
  <c r="F23" i="5" l="1"/>
  <c r="D24" i="5"/>
  <c r="D11" i="7" l="1"/>
  <c r="E11" i="7" s="1"/>
  <c r="F10" i="7"/>
  <c r="F24" i="5"/>
  <c r="E24" i="5"/>
  <c r="F11" i="7" l="1"/>
  <c r="F12" i="7" l="1"/>
</calcChain>
</file>

<file path=xl/sharedStrings.xml><?xml version="1.0" encoding="utf-8"?>
<sst xmlns="http://schemas.openxmlformats.org/spreadsheetml/2006/main" count="124" uniqueCount="56">
  <si>
    <t>Year</t>
  </si>
  <si>
    <t>Original Value</t>
  </si>
  <si>
    <t>3-Year MA</t>
  </si>
  <si>
    <t>5-Year MA</t>
  </si>
  <si>
    <t>7-Year MA</t>
  </si>
  <si>
    <t xml:space="preserve">Time </t>
  </si>
  <si>
    <t>Sales</t>
  </si>
  <si>
    <t>t</t>
  </si>
  <si>
    <t>ft</t>
  </si>
  <si>
    <t>ft+1(0.05)</t>
  </si>
  <si>
    <t>ft+1(0.2)</t>
  </si>
  <si>
    <t>ft+1(0.5)</t>
  </si>
  <si>
    <t>Day</t>
  </si>
  <si>
    <t>Mon</t>
  </si>
  <si>
    <t>Tue</t>
  </si>
  <si>
    <t>Wed</t>
  </si>
  <si>
    <t>Thu</t>
  </si>
  <si>
    <t>Fri</t>
  </si>
  <si>
    <t>compute 3 days moving average</t>
  </si>
  <si>
    <t>plot the series and the moving average on the graph</t>
  </si>
  <si>
    <t>does there appear to be a seasonal (weekly pattern)</t>
  </si>
  <si>
    <t>single exponential smoothing method with alpha = 0.2</t>
  </si>
  <si>
    <t>Q1</t>
  </si>
  <si>
    <t>Jan</t>
  </si>
  <si>
    <t>Q2</t>
  </si>
  <si>
    <t>Feb</t>
  </si>
  <si>
    <t>Q3</t>
  </si>
  <si>
    <t>Mar</t>
  </si>
  <si>
    <t>Q4</t>
  </si>
  <si>
    <t>Apr</t>
  </si>
  <si>
    <t>May</t>
  </si>
  <si>
    <t>Jun</t>
  </si>
  <si>
    <t>?</t>
  </si>
  <si>
    <t>f1</t>
  </si>
  <si>
    <t>f2</t>
  </si>
  <si>
    <t>f3</t>
  </si>
  <si>
    <t>f4</t>
  </si>
  <si>
    <t>f5</t>
  </si>
  <si>
    <t>F(jun)</t>
  </si>
  <si>
    <t>Quarter</t>
  </si>
  <si>
    <t>Y</t>
  </si>
  <si>
    <t>ycap</t>
  </si>
  <si>
    <t>y/ycap</t>
  </si>
  <si>
    <t>SI</t>
  </si>
  <si>
    <t>ycap * SI</t>
  </si>
  <si>
    <t>4MA</t>
  </si>
  <si>
    <t>-</t>
  </si>
  <si>
    <t>CMA</t>
  </si>
  <si>
    <t>SUM</t>
  </si>
  <si>
    <t>Time</t>
  </si>
  <si>
    <t>Smoothed (alpha = 0.8)</t>
  </si>
  <si>
    <t>Trend (beta = 0.4)</t>
  </si>
  <si>
    <t>Row</t>
  </si>
  <si>
    <t>Forecast</t>
  </si>
  <si>
    <t>Trend (beta = 0.5)</t>
  </si>
  <si>
    <t>Smoothed (alpha = 0.5)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</si>
</sst>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8"/>
      <name val="Carlito"/>
    </font>
    <font>
      <sz val="10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/>
    <xf numFmtId="2" fontId="0" fillId="0" borderId="9" xfId="0" applyNumberFormat="1" applyBorder="1"/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2" fontId="0" fillId="0" borderId="0" xfId="0" applyNumberFormat="1"/>
    <xf numFmtId="2" fontId="2" fillId="0" borderId="0" xfId="0" applyNumberFormat="1" applyFont="1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2" fontId="4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Sheet1!$D$5:$D$19</c:f>
              <c:numCache>
                <c:formatCode>General</c:formatCode>
                <c:ptCount val="15"/>
                <c:pt idx="0">
                  <c:v>20</c:v>
                </c:pt>
                <c:pt idx="1">
                  <c:v>27</c:v>
                </c:pt>
                <c:pt idx="2">
                  <c:v>25</c:v>
                </c:pt>
                <c:pt idx="3">
                  <c:v>22</c:v>
                </c:pt>
                <c:pt idx="4">
                  <c:v>18</c:v>
                </c:pt>
                <c:pt idx="5">
                  <c:v>21</c:v>
                </c:pt>
                <c:pt idx="6">
                  <c:v>26</c:v>
                </c:pt>
                <c:pt idx="7">
                  <c:v>19</c:v>
                </c:pt>
                <c:pt idx="8">
                  <c:v>16</c:v>
                </c:pt>
                <c:pt idx="9">
                  <c:v>28</c:v>
                </c:pt>
                <c:pt idx="10">
                  <c:v>25</c:v>
                </c:pt>
                <c:pt idx="11">
                  <c:v>26</c:v>
                </c:pt>
                <c:pt idx="12">
                  <c:v>27</c:v>
                </c:pt>
                <c:pt idx="13">
                  <c:v>23</c:v>
                </c:pt>
                <c:pt idx="14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3-4FFF-BF29-C418CDF2F141}"/>
            </c:ext>
          </c:extLst>
        </c:ser>
        <c:ser>
          <c:idx val="1"/>
          <c:order val="1"/>
          <c:tx>
            <c:strRef>
              <c:f>Sheet1!$E$4</c:f>
              <c:strCache>
                <c:ptCount val="1"/>
                <c:pt idx="0">
                  <c:v>ft+1(0.05)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Sheet1!$E$5:$E$19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27.35</c:v>
                </c:pt>
                <c:pt idx="3">
                  <c:v>24.8825</c:v>
                </c:pt>
                <c:pt idx="4">
                  <c:v>21.855875000000001</c:v>
                </c:pt>
                <c:pt idx="5">
                  <c:v>17.80720625</c:v>
                </c:pt>
                <c:pt idx="6">
                  <c:v>21.1596396875</c:v>
                </c:pt>
                <c:pt idx="7">
                  <c:v>26.242018015625</c:v>
                </c:pt>
                <c:pt idx="8">
                  <c:v>18.63789909921875</c:v>
                </c:pt>
                <c:pt idx="9">
                  <c:v>15.868105045039062</c:v>
                </c:pt>
                <c:pt idx="10">
                  <c:v>28.606594747748048</c:v>
                </c:pt>
                <c:pt idx="11">
                  <c:v>24.819670262612597</c:v>
                </c:pt>
                <c:pt idx="12">
                  <c:v>26.059016486869371</c:v>
                </c:pt>
                <c:pt idx="13">
                  <c:v>27.047049175656532</c:v>
                </c:pt>
                <c:pt idx="14">
                  <c:v>22.797647541217174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3-4FFF-BF29-C418CDF2F141}"/>
            </c:ext>
          </c:extLst>
        </c:ser>
        <c:ser>
          <c:idx val="2"/>
          <c:order val="2"/>
          <c:tx>
            <c:strRef>
              <c:f>Sheet1!$F$4</c:f>
              <c:strCache>
                <c:ptCount val="1"/>
                <c:pt idx="0">
                  <c:v>ft+1(0.2)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Sheet1!$F$5:$F$19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28.4</c:v>
                </c:pt>
                <c:pt idx="3">
                  <c:v>24.53</c:v>
                </c:pt>
                <c:pt idx="4">
                  <c:v>21.423500000000001</c:v>
                </c:pt>
                <c:pt idx="5">
                  <c:v>17.228825000000001</c:v>
                </c:pt>
                <c:pt idx="6">
                  <c:v>21.638558750000001</c:v>
                </c:pt>
                <c:pt idx="7">
                  <c:v>26.968072062499999</c:v>
                </c:pt>
                <c:pt idx="8">
                  <c:v>17.551596396874999</c:v>
                </c:pt>
                <c:pt idx="9">
                  <c:v>15.47242018015625</c:v>
                </c:pt>
                <c:pt idx="10">
                  <c:v>30.426378990992188</c:v>
                </c:pt>
                <c:pt idx="11">
                  <c:v>24.278681050450391</c:v>
                </c:pt>
                <c:pt idx="12">
                  <c:v>26.236065947477481</c:v>
                </c:pt>
                <c:pt idx="13">
                  <c:v>27.188196702626126</c:v>
                </c:pt>
                <c:pt idx="14">
                  <c:v>22.190590164868695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3-4FFF-BF29-C418CDF2F141}"/>
            </c:ext>
          </c:extLst>
        </c:ser>
        <c:ser>
          <c:idx val="3"/>
          <c:order val="3"/>
          <c:tx>
            <c:strRef>
              <c:f>Sheet1!$G$4</c:f>
              <c:strCache>
                <c:ptCount val="1"/>
                <c:pt idx="0">
                  <c:v>ft+1(0.5)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Sheet1!$G$5:$G$19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30.5</c:v>
                </c:pt>
                <c:pt idx="3">
                  <c:v>23.824999999999999</c:v>
                </c:pt>
                <c:pt idx="4">
                  <c:v>20.55875</c:v>
                </c:pt>
                <c:pt idx="5">
                  <c:v>16.072062500000001</c:v>
                </c:pt>
                <c:pt idx="6">
                  <c:v>22.596396875</c:v>
                </c:pt>
                <c:pt idx="7">
                  <c:v>28.420180156249998</c:v>
                </c:pt>
                <c:pt idx="8">
                  <c:v>15.3789909921875</c:v>
                </c:pt>
                <c:pt idx="9">
                  <c:v>14.681050450390625</c:v>
                </c:pt>
                <c:pt idx="10">
                  <c:v>34.065947477480471</c:v>
                </c:pt>
                <c:pt idx="11">
                  <c:v>23.196702626125976</c:v>
                </c:pt>
                <c:pt idx="12">
                  <c:v>26.590164868693702</c:v>
                </c:pt>
                <c:pt idx="13">
                  <c:v>27.470491756565316</c:v>
                </c:pt>
                <c:pt idx="14">
                  <c:v>20.976475412171734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73-4FFF-BF29-C418CDF2F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6974592"/>
        <c:axId val="464601488"/>
      </c:lineChart>
      <c:catAx>
        <c:axId val="456974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601488"/>
        <c:crosses val="autoZero"/>
        <c:auto val="1"/>
        <c:lblAlgn val="ctr"/>
        <c:lblOffset val="100"/>
        <c:noMultiLvlLbl val="0"/>
      </c:catAx>
      <c:valAx>
        <c:axId val="46460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97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414337</xdr:colOff>
      <xdr:row>13</xdr:row>
      <xdr:rowOff>4762</xdr:rowOff>
    </xdr:from>
    <xdr:to>
      <xdr:col>16</xdr:col>
      <xdr:colOff>185737</xdr:colOff>
      <xdr:row>28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9C49B7-CAD0-EFA9-D084-4340EA9CE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workbookViewId="0"/>
  </sheetViews>
  <sheetFormatPr defaultRowHeight="14.25"/>
  <cols>
    <col min="1" max="1" width="10" customWidth="1"/>
    <col min="2" max="5" width="16" customWidth="1"/>
  </cols>
  <sheetData>
    <row r="1" spans="1:5" ht="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>
      <c r="A2" s="4">
        <v>1</v>
      </c>
      <c r="B2" s="6">
        <v>80</v>
      </c>
      <c r="C2" s="8"/>
      <c r="D2" s="8"/>
      <c r="E2" s="9"/>
    </row>
    <row r="3" spans="1:5">
      <c r="A3" s="4">
        <v>2</v>
      </c>
      <c r="B3" s="6">
        <v>84</v>
      </c>
      <c r="C3" s="8">
        <f t="shared" ref="C3:C13" si="0">AVERAGE(B2:B4)</f>
        <v>81.333333333333329</v>
      </c>
      <c r="D3" s="8"/>
      <c r="E3" s="9"/>
    </row>
    <row r="4" spans="1:5">
      <c r="A4" s="4">
        <v>3</v>
      </c>
      <c r="B4" s="6">
        <v>80</v>
      </c>
      <c r="C4" s="8">
        <f t="shared" si="0"/>
        <v>84</v>
      </c>
      <c r="D4" s="8">
        <f t="shared" ref="D4:D12" si="1">AVERAGE(B2:B6)</f>
        <v>86</v>
      </c>
      <c r="E4" s="9"/>
    </row>
    <row r="5" spans="1:5">
      <c r="A5" s="4">
        <v>4</v>
      </c>
      <c r="B5" s="6">
        <v>88</v>
      </c>
      <c r="C5" s="8">
        <f t="shared" si="0"/>
        <v>88.666666666666671</v>
      </c>
      <c r="D5" s="8">
        <f t="shared" si="1"/>
        <v>88.4</v>
      </c>
      <c r="E5" s="9">
        <f t="shared" ref="E5:E11" si="2">AVERAGE(B2:B8)</f>
        <v>86.571428571428569</v>
      </c>
    </row>
    <row r="6" spans="1:5">
      <c r="A6" s="4">
        <v>5</v>
      </c>
      <c r="B6" s="6">
        <v>98</v>
      </c>
      <c r="C6" s="8">
        <f t="shared" si="0"/>
        <v>92.666666666666671</v>
      </c>
      <c r="D6" s="8">
        <f t="shared" si="1"/>
        <v>88.4</v>
      </c>
      <c r="E6" s="9">
        <f t="shared" si="2"/>
        <v>87.285714285714292</v>
      </c>
    </row>
    <row r="7" spans="1:5">
      <c r="A7" s="4">
        <v>6</v>
      </c>
      <c r="B7" s="6">
        <v>92</v>
      </c>
      <c r="C7" s="8">
        <f t="shared" si="0"/>
        <v>91.333333333333329</v>
      </c>
      <c r="D7" s="8">
        <f t="shared" si="1"/>
        <v>89.4</v>
      </c>
      <c r="E7" s="9">
        <f t="shared" si="2"/>
        <v>86.714285714285708</v>
      </c>
    </row>
    <row r="8" spans="1:5">
      <c r="A8" s="4">
        <v>7</v>
      </c>
      <c r="B8" s="6">
        <v>84</v>
      </c>
      <c r="C8" s="8">
        <f t="shared" si="0"/>
        <v>87</v>
      </c>
      <c r="D8" s="8">
        <f t="shared" si="1"/>
        <v>87.8</v>
      </c>
      <c r="E8" s="9">
        <f t="shared" si="2"/>
        <v>89.571428571428569</v>
      </c>
    </row>
    <row r="9" spans="1:5">
      <c r="A9" s="4">
        <v>8</v>
      </c>
      <c r="B9" s="6">
        <v>85</v>
      </c>
      <c r="C9" s="8">
        <f t="shared" si="0"/>
        <v>83</v>
      </c>
      <c r="D9" s="8">
        <f t="shared" si="1"/>
        <v>88.2</v>
      </c>
      <c r="E9" s="9">
        <f t="shared" si="2"/>
        <v>89</v>
      </c>
    </row>
    <row r="10" spans="1:5">
      <c r="A10" s="4">
        <v>9</v>
      </c>
      <c r="B10" s="6">
        <v>80</v>
      </c>
      <c r="C10" s="8">
        <f t="shared" si="0"/>
        <v>88.333333333333329</v>
      </c>
      <c r="D10" s="8">
        <f t="shared" si="1"/>
        <v>86.6</v>
      </c>
      <c r="E10" s="9">
        <f t="shared" si="2"/>
        <v>88.714285714285708</v>
      </c>
    </row>
    <row r="11" spans="1:5">
      <c r="A11" s="4">
        <v>10</v>
      </c>
      <c r="B11" s="6">
        <v>100</v>
      </c>
      <c r="C11" s="8">
        <f t="shared" si="0"/>
        <v>88</v>
      </c>
      <c r="D11" s="8">
        <f t="shared" si="1"/>
        <v>89</v>
      </c>
      <c r="E11" s="9">
        <f t="shared" si="2"/>
        <v>88.714285714285708</v>
      </c>
    </row>
    <row r="12" spans="1:5">
      <c r="A12" s="4">
        <v>11</v>
      </c>
      <c r="B12" s="6">
        <v>84</v>
      </c>
      <c r="C12" s="8">
        <f t="shared" si="0"/>
        <v>93.333333333333329</v>
      </c>
      <c r="D12" s="8">
        <f t="shared" si="1"/>
        <v>90.4</v>
      </c>
      <c r="E12" s="9"/>
    </row>
    <row r="13" spans="1:5">
      <c r="A13" s="4">
        <v>12</v>
      </c>
      <c r="B13" s="6">
        <v>96</v>
      </c>
      <c r="C13" s="8">
        <f t="shared" si="0"/>
        <v>90.666666666666671</v>
      </c>
      <c r="D13" s="8"/>
      <c r="E13" s="9"/>
    </row>
    <row r="14" spans="1:5">
      <c r="A14" s="5">
        <v>13</v>
      </c>
      <c r="B14" s="7">
        <v>92</v>
      </c>
      <c r="C14" s="10"/>
      <c r="D14" s="10"/>
      <c r="E14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010B-22A5-42D6-BCC8-2D4478E9E621}">
  <dimension ref="C1:Y26"/>
  <sheetViews>
    <sheetView topLeftCell="E1" zoomScale="82" zoomScaleNormal="160" workbookViewId="0">
      <selection activeCell="K4" sqref="K4"/>
    </sheetView>
  </sheetViews>
  <sheetFormatPr defaultRowHeight="14.25"/>
  <cols>
    <col min="5" max="5" width="9.375" bestFit="1" customWidth="1"/>
  </cols>
  <sheetData>
    <row r="1" spans="3:25" ht="15">
      <c r="S1" s="16" t="s">
        <v>12</v>
      </c>
      <c r="T1" s="16">
        <v>1</v>
      </c>
      <c r="U1" s="16">
        <v>2</v>
      </c>
      <c r="V1" s="16">
        <v>3</v>
      </c>
      <c r="W1" s="16">
        <v>4</v>
      </c>
    </row>
    <row r="2" spans="3:25">
      <c r="S2" t="s">
        <v>13</v>
      </c>
      <c r="T2">
        <v>43</v>
      </c>
      <c r="U2">
        <v>51</v>
      </c>
      <c r="V2">
        <v>40</v>
      </c>
      <c r="W2">
        <v>64</v>
      </c>
    </row>
    <row r="3" spans="3:25" ht="15">
      <c r="C3" s="12" t="s">
        <v>5</v>
      </c>
      <c r="D3" s="12" t="s">
        <v>6</v>
      </c>
      <c r="E3" s="14"/>
      <c r="F3" s="14"/>
      <c r="G3" s="14"/>
      <c r="S3" t="s">
        <v>14</v>
      </c>
      <c r="T3">
        <v>45</v>
      </c>
      <c r="U3">
        <v>41</v>
      </c>
      <c r="V3">
        <v>57</v>
      </c>
      <c r="W3">
        <v>58</v>
      </c>
    </row>
    <row r="4" spans="3:25" ht="15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S4" t="s">
        <v>15</v>
      </c>
      <c r="T4">
        <v>22</v>
      </c>
      <c r="U4">
        <v>37</v>
      </c>
      <c r="V4">
        <v>30</v>
      </c>
      <c r="W4">
        <v>33</v>
      </c>
    </row>
    <row r="5" spans="3:25">
      <c r="C5" s="13">
        <v>1</v>
      </c>
      <c r="D5" s="13">
        <v>20</v>
      </c>
      <c r="E5" s="15">
        <f>(D5+0.05*(D5-D5))</f>
        <v>20</v>
      </c>
      <c r="F5" s="15">
        <f>(D5+0.2*(D5-D5))</f>
        <v>20</v>
      </c>
      <c r="G5" s="15">
        <f>(D5+0.5*(D5-D5))</f>
        <v>20</v>
      </c>
      <c r="S5" t="s">
        <v>16</v>
      </c>
      <c r="T5">
        <v>25</v>
      </c>
      <c r="U5">
        <v>22</v>
      </c>
      <c r="V5">
        <v>33</v>
      </c>
      <c r="W5">
        <v>35</v>
      </c>
    </row>
    <row r="6" spans="3:25">
      <c r="C6" s="13">
        <v>2</v>
      </c>
      <c r="D6" s="13">
        <v>27</v>
      </c>
      <c r="E6" s="15">
        <f>(D5+0.05*(D5-E5))</f>
        <v>20</v>
      </c>
      <c r="F6" s="15">
        <f>(D5+0.2*(D5-E5))</f>
        <v>20</v>
      </c>
      <c r="G6" s="15">
        <f>(D5+0.5*(D5-E5))</f>
        <v>20</v>
      </c>
      <c r="S6" t="s">
        <v>17</v>
      </c>
      <c r="T6">
        <v>31</v>
      </c>
      <c r="U6">
        <v>25</v>
      </c>
      <c r="V6">
        <v>37</v>
      </c>
      <c r="W6">
        <v>25</v>
      </c>
    </row>
    <row r="7" spans="3:25">
      <c r="C7" s="13">
        <v>3</v>
      </c>
      <c r="D7" s="13">
        <v>25</v>
      </c>
      <c r="E7" s="15">
        <f t="shared" ref="E7:E19" si="0">(D6+0.05*(D6-E6))</f>
        <v>27.35</v>
      </c>
      <c r="F7" s="15">
        <f t="shared" ref="F7:F19" si="1">(D6+0.2*(D6-E6))</f>
        <v>28.4</v>
      </c>
      <c r="G7" s="15">
        <f t="shared" ref="G7:G19" si="2">(D6+0.5*(D6-E6))</f>
        <v>30.5</v>
      </c>
    </row>
    <row r="8" spans="3:25">
      <c r="C8" s="13">
        <v>4</v>
      </c>
      <c r="D8" s="13">
        <v>22</v>
      </c>
      <c r="E8" s="15">
        <f t="shared" si="0"/>
        <v>24.8825</v>
      </c>
      <c r="F8" s="15">
        <f t="shared" si="1"/>
        <v>24.53</v>
      </c>
      <c r="G8" s="15">
        <f t="shared" si="2"/>
        <v>23.824999999999999</v>
      </c>
      <c r="S8" t="s">
        <v>18</v>
      </c>
    </row>
    <row r="9" spans="3:25">
      <c r="C9" s="13">
        <v>5</v>
      </c>
      <c r="D9" s="13">
        <v>18</v>
      </c>
      <c r="E9" s="15">
        <f t="shared" si="0"/>
        <v>21.855875000000001</v>
      </c>
      <c r="F9" s="15">
        <f t="shared" si="1"/>
        <v>21.423500000000001</v>
      </c>
      <c r="G9" s="15">
        <f t="shared" si="2"/>
        <v>20.55875</v>
      </c>
      <c r="S9" t="s">
        <v>19</v>
      </c>
    </row>
    <row r="10" spans="3:25">
      <c r="C10" s="13">
        <v>6</v>
      </c>
      <c r="D10" s="13">
        <v>21</v>
      </c>
      <c r="E10" s="15">
        <f t="shared" si="0"/>
        <v>17.80720625</v>
      </c>
      <c r="F10" s="15">
        <f t="shared" si="1"/>
        <v>17.228825000000001</v>
      </c>
      <c r="G10" s="15">
        <f t="shared" si="2"/>
        <v>16.072062500000001</v>
      </c>
      <c r="S10" t="s">
        <v>20</v>
      </c>
    </row>
    <row r="11" spans="3:25">
      <c r="C11" s="13">
        <v>7</v>
      </c>
      <c r="D11" s="13">
        <v>26</v>
      </c>
      <c r="E11" s="15">
        <f t="shared" si="0"/>
        <v>21.1596396875</v>
      </c>
      <c r="F11" s="15">
        <f t="shared" si="1"/>
        <v>21.638558750000001</v>
      </c>
      <c r="G11" s="15">
        <f t="shared" si="2"/>
        <v>22.596396875</v>
      </c>
      <c r="Y11">
        <v>39</v>
      </c>
    </row>
    <row r="12" spans="3:25">
      <c r="C12" s="13">
        <v>8</v>
      </c>
      <c r="D12" s="13">
        <v>19</v>
      </c>
      <c r="E12" s="15">
        <f t="shared" si="0"/>
        <v>26.242018015625</v>
      </c>
      <c r="F12" s="15">
        <f t="shared" si="1"/>
        <v>26.968072062499999</v>
      </c>
      <c r="G12" s="15">
        <f t="shared" si="2"/>
        <v>28.420180156249998</v>
      </c>
      <c r="Y12">
        <v>37</v>
      </c>
    </row>
    <row r="13" spans="3:25">
      <c r="C13" s="13">
        <v>9</v>
      </c>
      <c r="D13" s="13">
        <v>16</v>
      </c>
      <c r="E13" s="15">
        <f t="shared" si="0"/>
        <v>18.63789909921875</v>
      </c>
      <c r="F13" s="15">
        <f t="shared" si="1"/>
        <v>17.551596396874999</v>
      </c>
      <c r="G13" s="15">
        <f t="shared" si="2"/>
        <v>15.3789909921875</v>
      </c>
      <c r="Y13">
        <v>61</v>
      </c>
    </row>
    <row r="14" spans="3:25">
      <c r="C14" s="13">
        <v>10</v>
      </c>
      <c r="D14" s="13">
        <v>28</v>
      </c>
      <c r="E14" s="15">
        <f t="shared" si="0"/>
        <v>15.868105045039062</v>
      </c>
      <c r="F14" s="15">
        <f t="shared" si="1"/>
        <v>15.47242018015625</v>
      </c>
      <c r="G14" s="15">
        <f t="shared" si="2"/>
        <v>14.681050450390625</v>
      </c>
      <c r="Y14">
        <v>58</v>
      </c>
    </row>
    <row r="15" spans="3:25">
      <c r="C15" s="13">
        <v>11</v>
      </c>
      <c r="D15" s="13">
        <v>25</v>
      </c>
      <c r="E15" s="15">
        <f t="shared" si="0"/>
        <v>28.606594747748048</v>
      </c>
      <c r="F15" s="15">
        <f t="shared" si="1"/>
        <v>30.426378990992188</v>
      </c>
      <c r="G15" s="15">
        <f t="shared" si="2"/>
        <v>34.065947477480471</v>
      </c>
      <c r="Y15">
        <v>18</v>
      </c>
    </row>
    <row r="16" spans="3:25">
      <c r="C16" s="13">
        <v>12</v>
      </c>
      <c r="D16" s="13">
        <v>26</v>
      </c>
      <c r="E16" s="15">
        <f t="shared" si="0"/>
        <v>24.819670262612597</v>
      </c>
      <c r="F16" s="15">
        <f t="shared" si="1"/>
        <v>24.278681050450391</v>
      </c>
      <c r="G16" s="15">
        <f t="shared" si="2"/>
        <v>23.196702626125976</v>
      </c>
      <c r="Y16">
        <v>52</v>
      </c>
    </row>
    <row r="17" spans="3:25">
      <c r="C17" s="13">
        <v>13</v>
      </c>
      <c r="D17" s="13">
        <v>27</v>
      </c>
      <c r="E17" s="15">
        <f t="shared" si="0"/>
        <v>26.059016486869371</v>
      </c>
      <c r="F17" s="15">
        <f t="shared" si="1"/>
        <v>26.236065947477481</v>
      </c>
      <c r="G17" s="15">
        <f t="shared" si="2"/>
        <v>26.590164868693702</v>
      </c>
      <c r="Y17">
        <v>82</v>
      </c>
    </row>
    <row r="18" spans="3:25">
      <c r="C18" s="13">
        <v>14</v>
      </c>
      <c r="D18" s="13">
        <v>23</v>
      </c>
      <c r="E18" s="15">
        <f t="shared" si="0"/>
        <v>27.047049175656532</v>
      </c>
      <c r="F18" s="15">
        <f t="shared" si="1"/>
        <v>27.188196702626126</v>
      </c>
      <c r="G18" s="15">
        <f t="shared" si="2"/>
        <v>27.470491756565316</v>
      </c>
      <c r="Y18">
        <v>27</v>
      </c>
    </row>
    <row r="19" spans="3:25">
      <c r="C19" s="13">
        <v>15</v>
      </c>
      <c r="D19" s="13">
        <v>27</v>
      </c>
      <c r="E19" s="15">
        <f t="shared" si="0"/>
        <v>22.797647541217174</v>
      </c>
      <c r="F19" s="15">
        <f t="shared" si="1"/>
        <v>22.190590164868695</v>
      </c>
      <c r="G19" s="15">
        <f t="shared" si="2"/>
        <v>20.976475412171734</v>
      </c>
      <c r="Y19">
        <v>41</v>
      </c>
    </row>
    <row r="20" spans="3:25">
      <c r="Y20">
        <v>69</v>
      </c>
    </row>
    <row r="21" spans="3:25">
      <c r="Y21">
        <v>49</v>
      </c>
    </row>
    <row r="22" spans="3:25">
      <c r="Y22">
        <v>66</v>
      </c>
    </row>
    <row r="23" spans="3:25">
      <c r="Y23">
        <v>54</v>
      </c>
    </row>
    <row r="24" spans="3:25">
      <c r="Y24">
        <v>42</v>
      </c>
    </row>
    <row r="26" spans="3:25">
      <c r="Y26" t="s">
        <v>21</v>
      </c>
    </row>
  </sheetData>
  <phoneticPr fontId="3" type="noConversion"/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8D5A-DA39-4C0C-8291-83B50B9E249D}">
  <dimension ref="A1:F16"/>
  <sheetViews>
    <sheetView workbookViewId="0">
      <selection activeCell="F14" sqref="F14"/>
    </sheetView>
  </sheetViews>
  <sheetFormatPr defaultRowHeight="14.25"/>
  <sheetData>
    <row r="1" spans="1:6">
      <c r="A1">
        <v>2021</v>
      </c>
      <c r="B1" t="s">
        <v>22</v>
      </c>
      <c r="C1">
        <v>4.8</v>
      </c>
      <c r="E1" t="s">
        <v>23</v>
      </c>
      <c r="F1">
        <v>100</v>
      </c>
    </row>
    <row r="2" spans="1:6">
      <c r="B2" t="s">
        <v>24</v>
      </c>
      <c r="C2">
        <v>4.5999999999999996</v>
      </c>
      <c r="E2" t="s">
        <v>25</v>
      </c>
      <c r="F2">
        <v>120</v>
      </c>
    </row>
    <row r="3" spans="1:6">
      <c r="B3" t="s">
        <v>26</v>
      </c>
      <c r="C3">
        <v>6</v>
      </c>
      <c r="E3" t="s">
        <v>27</v>
      </c>
      <c r="F3">
        <v>130</v>
      </c>
    </row>
    <row r="4" spans="1:6">
      <c r="B4" t="s">
        <v>28</v>
      </c>
      <c r="C4">
        <v>6.5</v>
      </c>
      <c r="E4" t="s">
        <v>29</v>
      </c>
      <c r="F4">
        <v>125</v>
      </c>
    </row>
    <row r="5" spans="1:6">
      <c r="A5">
        <v>2022</v>
      </c>
      <c r="B5" t="s">
        <v>22</v>
      </c>
      <c r="C5">
        <v>5.8</v>
      </c>
      <c r="E5" t="s">
        <v>30</v>
      </c>
      <c r="F5">
        <v>140</v>
      </c>
    </row>
    <row r="6" spans="1:6">
      <c r="B6" t="s">
        <v>24</v>
      </c>
      <c r="C6">
        <v>5.2</v>
      </c>
      <c r="E6" t="s">
        <v>31</v>
      </c>
      <c r="F6" t="s">
        <v>32</v>
      </c>
    </row>
    <row r="7" spans="1:6">
      <c r="B7" t="s">
        <v>26</v>
      </c>
      <c r="C7">
        <v>6.8</v>
      </c>
    </row>
    <row r="8" spans="1:6">
      <c r="B8" t="s">
        <v>28</v>
      </c>
      <c r="C8">
        <v>7.4</v>
      </c>
      <c r="E8" t="s">
        <v>33</v>
      </c>
      <c r="F8">
        <f>F1</f>
        <v>100</v>
      </c>
    </row>
    <row r="9" spans="1:6">
      <c r="A9">
        <v>2023</v>
      </c>
      <c r="B9" t="s">
        <v>22</v>
      </c>
      <c r="C9">
        <v>6</v>
      </c>
      <c r="E9" t="s">
        <v>34</v>
      </c>
      <c r="F9">
        <f>F8+(0.2)*(F2-F8)</f>
        <v>104</v>
      </c>
    </row>
    <row r="10" spans="1:6">
      <c r="B10" t="s">
        <v>24</v>
      </c>
      <c r="C10">
        <v>5.6</v>
      </c>
      <c r="E10" t="s">
        <v>35</v>
      </c>
      <c r="F10">
        <f t="shared" ref="F10:F12" si="0">F9+(0.2)*(F3-F9)</f>
        <v>109.2</v>
      </c>
    </row>
    <row r="11" spans="1:6">
      <c r="B11" t="s">
        <v>26</v>
      </c>
      <c r="C11">
        <v>7.5</v>
      </c>
      <c r="E11" t="s">
        <v>36</v>
      </c>
      <c r="F11">
        <f t="shared" si="0"/>
        <v>112.36</v>
      </c>
    </row>
    <row r="12" spans="1:6">
      <c r="B12" t="s">
        <v>28</v>
      </c>
      <c r="C12">
        <v>7.8</v>
      </c>
      <c r="E12" t="s">
        <v>37</v>
      </c>
      <c r="F12">
        <f t="shared" si="0"/>
        <v>117.88800000000001</v>
      </c>
    </row>
    <row r="13" spans="1:6">
      <c r="A13">
        <v>2024</v>
      </c>
      <c r="B13" t="s">
        <v>22</v>
      </c>
      <c r="C13">
        <v>6.3</v>
      </c>
    </row>
    <row r="14" spans="1:6">
      <c r="B14" t="s">
        <v>24</v>
      </c>
      <c r="C14">
        <v>5.9</v>
      </c>
      <c r="E14" t="s">
        <v>38</v>
      </c>
      <c r="F14">
        <f>F12</f>
        <v>117.88800000000001</v>
      </c>
    </row>
    <row r="15" spans="1:6">
      <c r="B15" t="s">
        <v>26</v>
      </c>
      <c r="C15">
        <v>8</v>
      </c>
    </row>
    <row r="16" spans="1:6">
      <c r="B16" t="s">
        <v>28</v>
      </c>
      <c r="C16">
        <v>8.9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181EA-92DF-4072-8552-F8FBD82D0469}">
  <dimension ref="A1:H36"/>
  <sheetViews>
    <sheetView workbookViewId="0">
      <selection activeCell="J28" sqref="J28"/>
    </sheetView>
  </sheetViews>
  <sheetFormatPr defaultRowHeight="14.25"/>
  <cols>
    <col min="8" max="8" width="12.625" bestFit="1" customWidth="1"/>
  </cols>
  <sheetData>
    <row r="1" spans="1:7">
      <c r="A1" t="s">
        <v>39</v>
      </c>
      <c r="B1" t="s">
        <v>40</v>
      </c>
      <c r="C1" t="s">
        <v>7</v>
      </c>
      <c r="D1" t="s">
        <v>41</v>
      </c>
      <c r="E1" t="s">
        <v>42</v>
      </c>
      <c r="F1" t="s">
        <v>43</v>
      </c>
      <c r="G1" t="s">
        <v>44</v>
      </c>
    </row>
    <row r="2" spans="1:7">
      <c r="A2" t="s">
        <v>22</v>
      </c>
      <c r="B2">
        <v>4.8</v>
      </c>
      <c r="C2">
        <v>1</v>
      </c>
      <c r="D2">
        <f>4.85+0.1798*C2</f>
        <v>5.0297999999999998</v>
      </c>
      <c r="E2">
        <f>B2/D2</f>
        <v>0.95431229869974954</v>
      </c>
    </row>
    <row r="3" spans="1:7">
      <c r="A3" t="s">
        <v>24</v>
      </c>
      <c r="B3">
        <v>4.0999999999999996</v>
      </c>
      <c r="C3">
        <v>2</v>
      </c>
      <c r="D3">
        <f t="shared" ref="D3:D17" si="0">4.85+0.1798*C3</f>
        <v>5.2096</v>
      </c>
      <c r="E3">
        <f t="shared" ref="E3:E17" si="1">B3/D3</f>
        <v>0.78700859950859947</v>
      </c>
    </row>
    <row r="4" spans="1:7">
      <c r="A4" t="s">
        <v>26</v>
      </c>
      <c r="B4">
        <v>6</v>
      </c>
      <c r="C4">
        <v>3</v>
      </c>
      <c r="D4">
        <f t="shared" si="0"/>
        <v>5.3893999999999993</v>
      </c>
      <c r="E4">
        <f t="shared" si="1"/>
        <v>1.1132964708501876</v>
      </c>
    </row>
    <row r="5" spans="1:7">
      <c r="A5" t="s">
        <v>28</v>
      </c>
      <c r="B5">
        <v>6.5</v>
      </c>
      <c r="C5">
        <v>4</v>
      </c>
      <c r="D5">
        <f t="shared" si="0"/>
        <v>5.5691999999999995</v>
      </c>
      <c r="E5">
        <f t="shared" si="1"/>
        <v>1.1671335200746966</v>
      </c>
    </row>
    <row r="6" spans="1:7">
      <c r="A6" t="s">
        <v>22</v>
      </c>
      <c r="B6">
        <v>5.8</v>
      </c>
      <c r="C6">
        <v>5</v>
      </c>
      <c r="D6">
        <f t="shared" si="0"/>
        <v>5.7489999999999997</v>
      </c>
      <c r="E6">
        <f t="shared" si="1"/>
        <v>1.008871108018786</v>
      </c>
    </row>
    <row r="7" spans="1:7">
      <c r="A7" t="s">
        <v>24</v>
      </c>
      <c r="B7">
        <v>5.2</v>
      </c>
      <c r="C7">
        <v>6</v>
      </c>
      <c r="D7">
        <f t="shared" si="0"/>
        <v>5.9287999999999998</v>
      </c>
      <c r="E7">
        <f t="shared" si="1"/>
        <v>0.87707461880987725</v>
      </c>
    </row>
    <row r="8" spans="1:7">
      <c r="A8" t="s">
        <v>26</v>
      </c>
      <c r="B8">
        <v>6.8</v>
      </c>
      <c r="C8">
        <v>7</v>
      </c>
      <c r="D8">
        <f t="shared" si="0"/>
        <v>6.1085999999999991</v>
      </c>
      <c r="E8">
        <f t="shared" si="1"/>
        <v>1.113184690436434</v>
      </c>
    </row>
    <row r="9" spans="1:7">
      <c r="A9" t="s">
        <v>28</v>
      </c>
      <c r="B9">
        <v>7.4</v>
      </c>
      <c r="C9">
        <v>8</v>
      </c>
      <c r="D9">
        <f t="shared" si="0"/>
        <v>6.2883999999999993</v>
      </c>
      <c r="E9">
        <f t="shared" si="1"/>
        <v>1.1767699255772535</v>
      </c>
    </row>
    <row r="10" spans="1:7">
      <c r="A10" t="s">
        <v>22</v>
      </c>
      <c r="B10">
        <v>6</v>
      </c>
      <c r="C10">
        <v>9</v>
      </c>
      <c r="D10">
        <f t="shared" si="0"/>
        <v>6.4681999999999995</v>
      </c>
      <c r="E10">
        <f t="shared" si="1"/>
        <v>0.92761510157385374</v>
      </c>
    </row>
    <row r="11" spans="1:7">
      <c r="A11" t="s">
        <v>24</v>
      </c>
      <c r="B11">
        <v>5.6</v>
      </c>
      <c r="C11">
        <v>10</v>
      </c>
      <c r="D11">
        <f t="shared" si="0"/>
        <v>6.6479999999999997</v>
      </c>
      <c r="E11">
        <f t="shared" si="1"/>
        <v>0.84235860409145602</v>
      </c>
    </row>
    <row r="12" spans="1:7">
      <c r="A12" t="s">
        <v>26</v>
      </c>
      <c r="B12">
        <v>7.5</v>
      </c>
      <c r="C12">
        <v>11</v>
      </c>
      <c r="D12">
        <f t="shared" si="0"/>
        <v>6.8277999999999999</v>
      </c>
      <c r="E12">
        <f t="shared" si="1"/>
        <v>1.0984504525615866</v>
      </c>
    </row>
    <row r="13" spans="1:7">
      <c r="A13" t="s">
        <v>28</v>
      </c>
      <c r="B13">
        <v>7.8</v>
      </c>
      <c r="C13">
        <v>12</v>
      </c>
      <c r="D13">
        <f t="shared" si="0"/>
        <v>7.0076000000000001</v>
      </c>
      <c r="E13">
        <f t="shared" si="1"/>
        <v>1.1130772304355272</v>
      </c>
    </row>
    <row r="14" spans="1:7">
      <c r="A14" t="s">
        <v>22</v>
      </c>
      <c r="B14">
        <v>6.3</v>
      </c>
      <c r="C14">
        <v>13</v>
      </c>
      <c r="D14">
        <f t="shared" si="0"/>
        <v>7.1873999999999993</v>
      </c>
      <c r="E14">
        <f t="shared" si="1"/>
        <v>0.87653393438517413</v>
      </c>
    </row>
    <row r="15" spans="1:7">
      <c r="A15" t="s">
        <v>24</v>
      </c>
      <c r="B15">
        <v>5.9</v>
      </c>
      <c r="C15">
        <v>14</v>
      </c>
      <c r="D15">
        <f t="shared" si="0"/>
        <v>7.3671999999999995</v>
      </c>
      <c r="E15">
        <f t="shared" si="1"/>
        <v>0.80084699750244337</v>
      </c>
    </row>
    <row r="16" spans="1:7">
      <c r="A16" t="s">
        <v>26</v>
      </c>
      <c r="B16">
        <v>8</v>
      </c>
      <c r="C16">
        <v>15</v>
      </c>
      <c r="D16">
        <f t="shared" si="0"/>
        <v>7.5469999999999988</v>
      </c>
      <c r="E16">
        <f t="shared" si="1"/>
        <v>1.0600238505366373</v>
      </c>
    </row>
    <row r="17" spans="1:8">
      <c r="A17" t="s">
        <v>28</v>
      </c>
      <c r="B17">
        <v>8.4</v>
      </c>
      <c r="C17">
        <v>16</v>
      </c>
      <c r="D17">
        <f t="shared" si="0"/>
        <v>7.726799999999999</v>
      </c>
      <c r="E17">
        <f t="shared" si="1"/>
        <v>1.0871253300201897</v>
      </c>
    </row>
    <row r="18" spans="1:8">
      <c r="B18">
        <f>AVERAGE(B2:B17)</f>
        <v>6.3812499999999996</v>
      </c>
    </row>
    <row r="20" spans="1:8" ht="15">
      <c r="A20" s="21" t="s">
        <v>39</v>
      </c>
      <c r="B20" s="21" t="s">
        <v>40</v>
      </c>
      <c r="C20" s="21" t="s">
        <v>45</v>
      </c>
      <c r="D20" s="21" t="s">
        <v>47</v>
      </c>
      <c r="E20" s="22"/>
      <c r="F20" s="18"/>
      <c r="G20" s="17"/>
      <c r="H20" s="17"/>
    </row>
    <row r="21" spans="1:8">
      <c r="A21" s="21" t="s">
        <v>22</v>
      </c>
      <c r="B21" s="21">
        <v>4.8</v>
      </c>
      <c r="C21" s="21" t="s">
        <v>46</v>
      </c>
      <c r="D21" s="21"/>
      <c r="E21" s="23"/>
      <c r="F21" s="20"/>
      <c r="G21" s="19"/>
      <c r="H21" s="19"/>
    </row>
    <row r="22" spans="1:8">
      <c r="A22" s="21" t="s">
        <v>24</v>
      </c>
      <c r="B22" s="21">
        <v>4.0999999999999996</v>
      </c>
      <c r="C22" s="21" t="s">
        <v>46</v>
      </c>
      <c r="D22" s="21"/>
      <c r="E22" s="23"/>
      <c r="F22" s="20"/>
      <c r="G22" s="19"/>
      <c r="H22" s="19"/>
    </row>
    <row r="23" spans="1:8">
      <c r="A23" s="21" t="s">
        <v>26</v>
      </c>
      <c r="B23" s="21">
        <v>6</v>
      </c>
      <c r="C23" s="21" t="s">
        <v>46</v>
      </c>
      <c r="D23" s="21">
        <f>SUM(C24:C25)/2</f>
        <v>5.4749999999999996</v>
      </c>
      <c r="E23" s="23">
        <f>B23/D23*100</f>
        <v>109.58904109589042</v>
      </c>
      <c r="F23" s="20"/>
      <c r="G23" s="19"/>
      <c r="H23" s="19"/>
    </row>
    <row r="24" spans="1:8">
      <c r="A24" s="21" t="s">
        <v>28</v>
      </c>
      <c r="B24" s="21">
        <v>6.5</v>
      </c>
      <c r="C24" s="21">
        <f t="shared" ref="C24:C36" si="2">SUM(B21:B24)/4</f>
        <v>5.35</v>
      </c>
      <c r="D24" s="21">
        <f t="shared" ref="D24:D34" si="3">SUM(C25:C26)/2</f>
        <v>5.7375000000000007</v>
      </c>
      <c r="E24" s="23">
        <f t="shared" ref="E24:E34" si="4">B24/D24*100</f>
        <v>113.28976034858387</v>
      </c>
      <c r="F24" s="20"/>
      <c r="G24" s="19"/>
      <c r="H24" s="19"/>
    </row>
    <row r="25" spans="1:8">
      <c r="A25" s="21" t="s">
        <v>22</v>
      </c>
      <c r="B25" s="21">
        <v>5.8</v>
      </c>
      <c r="C25" s="21">
        <f t="shared" si="2"/>
        <v>5.6000000000000005</v>
      </c>
      <c r="D25" s="21">
        <f t="shared" si="3"/>
        <v>5.9749999999999996</v>
      </c>
      <c r="E25" s="23">
        <f t="shared" si="4"/>
        <v>97.071129707112974</v>
      </c>
      <c r="G25" s="24" t="s">
        <v>22</v>
      </c>
      <c r="H25" s="25">
        <f>(E25+E29+E33)/3</f>
        <v>93.220047731596011</v>
      </c>
    </row>
    <row r="26" spans="1:8">
      <c r="A26" s="21" t="s">
        <v>24</v>
      </c>
      <c r="B26" s="21">
        <v>5.2</v>
      </c>
      <c r="C26" s="21">
        <f t="shared" si="2"/>
        <v>5.875</v>
      </c>
      <c r="D26" s="21">
        <f t="shared" si="3"/>
        <v>6.1875</v>
      </c>
      <c r="E26" s="23">
        <f t="shared" si="4"/>
        <v>84.040404040404042</v>
      </c>
      <c r="F26" s="20"/>
      <c r="G26" s="19" t="s">
        <v>24</v>
      </c>
      <c r="H26" s="23">
        <f>(E26+E30+E34)/3</f>
        <v>83.775920424985415</v>
      </c>
    </row>
    <row r="27" spans="1:8">
      <c r="A27" s="21" t="s">
        <v>26</v>
      </c>
      <c r="B27" s="21">
        <v>6.8</v>
      </c>
      <c r="C27" s="21">
        <f t="shared" si="2"/>
        <v>6.0750000000000002</v>
      </c>
      <c r="D27" s="21">
        <f t="shared" si="3"/>
        <v>6.3250000000000002</v>
      </c>
      <c r="E27" s="23">
        <f t="shared" si="4"/>
        <v>107.50988142292491</v>
      </c>
      <c r="F27" s="20"/>
      <c r="G27" s="19" t="s">
        <v>26</v>
      </c>
      <c r="H27" s="23">
        <f>(E27+E31)/2</f>
        <v>109.20780577615747</v>
      </c>
    </row>
    <row r="28" spans="1:8">
      <c r="A28" s="21" t="s">
        <v>28</v>
      </c>
      <c r="B28" s="21">
        <v>7.4</v>
      </c>
      <c r="C28" s="21">
        <f t="shared" si="2"/>
        <v>6.3000000000000007</v>
      </c>
      <c r="D28" s="21">
        <f t="shared" si="3"/>
        <v>6.3999999999999995</v>
      </c>
      <c r="E28" s="23">
        <f t="shared" si="4"/>
        <v>115.62500000000003</v>
      </c>
      <c r="F28" s="20"/>
      <c r="G28" s="19" t="s">
        <v>28</v>
      </c>
      <c r="H28" s="23">
        <f>(E28+E32)/2</f>
        <v>114.85089122486289</v>
      </c>
    </row>
    <row r="29" spans="1:8">
      <c r="A29" s="21" t="s">
        <v>22</v>
      </c>
      <c r="B29" s="21">
        <v>6</v>
      </c>
      <c r="C29" s="21">
        <f t="shared" si="2"/>
        <v>6.35</v>
      </c>
      <c r="D29" s="21">
        <f t="shared" si="3"/>
        <v>6.5374999999999996</v>
      </c>
      <c r="E29" s="23">
        <f t="shared" si="4"/>
        <v>91.778202676864254</v>
      </c>
      <c r="F29" s="20"/>
      <c r="G29" s="19" t="s">
        <v>48</v>
      </c>
      <c r="H29" s="23">
        <f>SUM(H25:H28)</f>
        <v>401.05466515760179</v>
      </c>
    </row>
    <row r="30" spans="1:8">
      <c r="A30" s="21" t="s">
        <v>24</v>
      </c>
      <c r="B30" s="21">
        <v>5.6</v>
      </c>
      <c r="C30" s="21">
        <f t="shared" si="2"/>
        <v>6.4499999999999993</v>
      </c>
      <c r="D30" s="21">
        <f t="shared" si="3"/>
        <v>6.6750000000000007</v>
      </c>
      <c r="E30" s="23">
        <f t="shared" si="4"/>
        <v>83.8951310861423</v>
      </c>
      <c r="F30" s="20"/>
      <c r="G30" s="19"/>
      <c r="H30" s="19"/>
    </row>
    <row r="31" spans="1:8">
      <c r="A31" s="21" t="s">
        <v>26</v>
      </c>
      <c r="B31" s="21">
        <v>7.5</v>
      </c>
      <c r="C31" s="21">
        <f t="shared" si="2"/>
        <v>6.625</v>
      </c>
      <c r="D31" s="21">
        <f t="shared" si="3"/>
        <v>6.7625000000000002</v>
      </c>
      <c r="E31" s="23">
        <f t="shared" si="4"/>
        <v>110.90573012939002</v>
      </c>
      <c r="F31" s="20"/>
      <c r="G31" s="19"/>
      <c r="H31" s="19"/>
    </row>
    <row r="32" spans="1:8">
      <c r="A32" s="21" t="s">
        <v>28</v>
      </c>
      <c r="B32" s="21">
        <v>7.8</v>
      </c>
      <c r="C32" s="21">
        <f t="shared" si="2"/>
        <v>6.7250000000000005</v>
      </c>
      <c r="D32" s="21">
        <f t="shared" si="3"/>
        <v>6.8375000000000004</v>
      </c>
      <c r="E32" s="23">
        <f t="shared" si="4"/>
        <v>114.07678244972577</v>
      </c>
      <c r="F32" s="20"/>
      <c r="G32" s="19"/>
      <c r="H32" s="19"/>
    </row>
    <row r="33" spans="1:8">
      <c r="A33" s="21" t="s">
        <v>22</v>
      </c>
      <c r="B33" s="21">
        <v>6.3</v>
      </c>
      <c r="C33" s="21">
        <f t="shared" si="2"/>
        <v>6.8</v>
      </c>
      <c r="D33" s="21">
        <f t="shared" si="3"/>
        <v>6.9375</v>
      </c>
      <c r="E33" s="23">
        <f t="shared" si="4"/>
        <v>90.810810810810807</v>
      </c>
      <c r="F33" s="20"/>
      <c r="G33" s="19"/>
      <c r="H33" s="19"/>
    </row>
    <row r="34" spans="1:8">
      <c r="A34" s="21" t="s">
        <v>24</v>
      </c>
      <c r="B34" s="21">
        <v>5.9</v>
      </c>
      <c r="C34" s="21">
        <f t="shared" si="2"/>
        <v>6.875</v>
      </c>
      <c r="D34" s="21">
        <f t="shared" si="3"/>
        <v>7.0750000000000002</v>
      </c>
      <c r="E34" s="23">
        <f t="shared" si="4"/>
        <v>83.392226148409904</v>
      </c>
      <c r="F34" s="20"/>
      <c r="G34" s="19"/>
      <c r="H34" s="19"/>
    </row>
    <row r="35" spans="1:8">
      <c r="A35" s="21" t="s">
        <v>26</v>
      </c>
      <c r="B35" s="21">
        <v>8</v>
      </c>
      <c r="C35" s="21">
        <f t="shared" si="2"/>
        <v>7</v>
      </c>
      <c r="D35" s="21"/>
      <c r="E35" s="23"/>
      <c r="F35" s="20"/>
      <c r="G35" s="19"/>
      <c r="H35" s="19"/>
    </row>
    <row r="36" spans="1:8">
      <c r="A36" s="21" t="s">
        <v>28</v>
      </c>
      <c r="B36" s="21">
        <v>8.4</v>
      </c>
      <c r="C36" s="21">
        <f t="shared" si="2"/>
        <v>7.15</v>
      </c>
      <c r="D36" s="21"/>
      <c r="E36" s="23"/>
      <c r="F36" s="20"/>
      <c r="G36" s="19"/>
      <c r="H36" s="19"/>
    </row>
  </sheetData>
  <phoneticPr fontId="3" type="noConversion"/>
  <pageMargins left="0.7" right="0.7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F176-01BA-48F1-B2A8-F5B7D16EF4F0}">
  <dimension ref="A1:M24"/>
  <sheetViews>
    <sheetView workbookViewId="0">
      <selection activeCell="A14" sqref="A14:F24"/>
    </sheetView>
  </sheetViews>
  <sheetFormatPr defaultRowHeight="14.25"/>
  <cols>
    <col min="4" max="4" width="20.25" bestFit="1" customWidth="1"/>
    <col min="5" max="5" width="15.625" bestFit="1" customWidth="1"/>
    <col min="12" max="12" width="20.25" bestFit="1" customWidth="1"/>
    <col min="13" max="13" width="15.625" bestFit="1" customWidth="1"/>
  </cols>
  <sheetData>
    <row r="1" spans="1:13">
      <c r="A1" t="s">
        <v>49</v>
      </c>
      <c r="B1" t="s">
        <v>0</v>
      </c>
      <c r="C1" t="s">
        <v>6</v>
      </c>
      <c r="D1" t="s">
        <v>50</v>
      </c>
      <c r="E1" t="s">
        <v>51</v>
      </c>
      <c r="I1" t="s">
        <v>49</v>
      </c>
      <c r="J1" t="s">
        <v>0</v>
      </c>
      <c r="K1" t="s">
        <v>6</v>
      </c>
      <c r="L1" t="s">
        <v>50</v>
      </c>
      <c r="M1" t="s">
        <v>51</v>
      </c>
    </row>
    <row r="2" spans="1:13">
      <c r="A2">
        <v>1</v>
      </c>
      <c r="B2">
        <v>2010</v>
      </c>
      <c r="C2">
        <v>1451</v>
      </c>
      <c r="D2">
        <f>C2</f>
        <v>1451</v>
      </c>
      <c r="E2">
        <v>0</v>
      </c>
      <c r="I2">
        <v>1</v>
      </c>
      <c r="J2">
        <v>2010</v>
      </c>
      <c r="K2">
        <v>1451</v>
      </c>
    </row>
    <row r="3" spans="1:13">
      <c r="A3">
        <v>2</v>
      </c>
      <c r="B3">
        <v>2011</v>
      </c>
      <c r="C3">
        <v>1499</v>
      </c>
      <c r="D3">
        <f>0.8*C3+(1-0.8)*(C2*E2)</f>
        <v>1199.2</v>
      </c>
      <c r="E3">
        <f>0.4*(D3-D2)+(1-0.4)*E2</f>
        <v>-100.71999999999998</v>
      </c>
      <c r="I3">
        <v>2</v>
      </c>
      <c r="J3">
        <v>2011</v>
      </c>
      <c r="K3">
        <v>1499</v>
      </c>
    </row>
    <row r="4" spans="1:13">
      <c r="A4">
        <v>3</v>
      </c>
      <c r="B4">
        <v>2012</v>
      </c>
      <c r="C4">
        <v>1686</v>
      </c>
      <c r="I4">
        <v>3</v>
      </c>
      <c r="J4">
        <v>2012</v>
      </c>
      <c r="K4">
        <v>1686</v>
      </c>
    </row>
    <row r="5" spans="1:13">
      <c r="A5">
        <v>4</v>
      </c>
      <c r="B5">
        <v>2013</v>
      </c>
      <c r="C5">
        <v>1764</v>
      </c>
      <c r="I5">
        <v>4</v>
      </c>
      <c r="J5">
        <v>2013</v>
      </c>
      <c r="K5">
        <v>1764</v>
      </c>
    </row>
    <row r="6" spans="1:13">
      <c r="A6">
        <v>5</v>
      </c>
      <c r="B6">
        <v>2014</v>
      </c>
      <c r="C6">
        <v>1879</v>
      </c>
      <c r="I6">
        <v>5</v>
      </c>
      <c r="J6">
        <v>2014</v>
      </c>
      <c r="K6">
        <v>1879</v>
      </c>
    </row>
    <row r="7" spans="1:13">
      <c r="A7">
        <v>6</v>
      </c>
      <c r="B7">
        <v>2015</v>
      </c>
      <c r="C7">
        <v>1948</v>
      </c>
      <c r="I7">
        <v>6</v>
      </c>
      <c r="J7">
        <v>2015</v>
      </c>
      <c r="K7">
        <v>1948</v>
      </c>
    </row>
    <row r="8" spans="1:13">
      <c r="A8">
        <v>7</v>
      </c>
      <c r="B8">
        <v>2016</v>
      </c>
      <c r="C8">
        <v>2013</v>
      </c>
      <c r="I8">
        <v>7</v>
      </c>
      <c r="J8">
        <v>2016</v>
      </c>
      <c r="K8">
        <v>2013</v>
      </c>
    </row>
    <row r="9" spans="1:13">
      <c r="A9">
        <v>8</v>
      </c>
      <c r="B9">
        <v>2017</v>
      </c>
      <c r="C9">
        <v>2090</v>
      </c>
      <c r="I9">
        <v>8</v>
      </c>
      <c r="J9">
        <v>2017</v>
      </c>
      <c r="K9">
        <v>2090</v>
      </c>
    </row>
    <row r="10" spans="1:13">
      <c r="A10">
        <v>9</v>
      </c>
      <c r="B10">
        <v>2018</v>
      </c>
      <c r="C10">
        <v>2173</v>
      </c>
      <c r="I10">
        <v>9</v>
      </c>
      <c r="J10">
        <v>2018</v>
      </c>
      <c r="K10">
        <v>2173</v>
      </c>
    </row>
    <row r="11" spans="1:13">
      <c r="A11">
        <v>10</v>
      </c>
      <c r="B11">
        <v>2019</v>
      </c>
      <c r="C11">
        <v>2286</v>
      </c>
      <c r="I11">
        <v>10</v>
      </c>
      <c r="J11">
        <v>2019</v>
      </c>
      <c r="K11">
        <v>2286</v>
      </c>
    </row>
    <row r="14" spans="1:13">
      <c r="A14" s="26" t="s">
        <v>52</v>
      </c>
      <c r="B14" s="26" t="s">
        <v>0</v>
      </c>
      <c r="C14" s="26" t="s">
        <v>6</v>
      </c>
      <c r="D14" t="s">
        <v>50</v>
      </c>
      <c r="E14" t="s">
        <v>51</v>
      </c>
      <c r="F14" s="26" t="s">
        <v>53</v>
      </c>
    </row>
    <row r="15" spans="1:13">
      <c r="A15" s="20">
        <v>1</v>
      </c>
      <c r="B15" s="20">
        <v>2010</v>
      </c>
      <c r="C15" s="20">
        <v>1451</v>
      </c>
      <c r="D15" s="27">
        <f>C15</f>
        <v>1451</v>
      </c>
      <c r="E15" s="27">
        <f>C16-C15</f>
        <v>48</v>
      </c>
      <c r="F15" s="27">
        <f t="shared" ref="F15:F24" si="0">D15+E15</f>
        <v>1499</v>
      </c>
    </row>
    <row r="16" spans="1:13">
      <c r="A16" s="20">
        <v>2</v>
      </c>
      <c r="B16" s="20">
        <v>2011</v>
      </c>
      <c r="C16" s="20">
        <v>1499</v>
      </c>
      <c r="D16" s="27">
        <f t="shared" ref="D16:D24" si="1">0.8*C16+0.2*(D15+E15)</f>
        <v>1499</v>
      </c>
      <c r="E16" s="27">
        <f t="shared" ref="E16:E24" si="2">0.4*(D16-D15)+0.6*E15</f>
        <v>48</v>
      </c>
      <c r="F16" s="27">
        <f t="shared" si="0"/>
        <v>1547</v>
      </c>
    </row>
    <row r="17" spans="1:6">
      <c r="A17" s="20">
        <v>3</v>
      </c>
      <c r="B17" s="20">
        <v>2012</v>
      </c>
      <c r="C17" s="20">
        <v>1686</v>
      </c>
      <c r="D17" s="27">
        <f t="shared" si="1"/>
        <v>1658.2000000000003</v>
      </c>
      <c r="E17" s="27">
        <f t="shared" si="2"/>
        <v>92.480000000000103</v>
      </c>
      <c r="F17" s="27">
        <f t="shared" si="0"/>
        <v>1750.6800000000003</v>
      </c>
    </row>
    <row r="18" spans="1:6">
      <c r="A18" s="20">
        <v>4</v>
      </c>
      <c r="B18" s="20">
        <v>2013</v>
      </c>
      <c r="C18" s="20">
        <v>1764</v>
      </c>
      <c r="D18" s="27">
        <f t="shared" si="1"/>
        <v>1761.3360000000002</v>
      </c>
      <c r="E18" s="27">
        <f t="shared" si="2"/>
        <v>96.74240000000006</v>
      </c>
      <c r="F18" s="27">
        <f t="shared" si="0"/>
        <v>1858.0784000000003</v>
      </c>
    </row>
    <row r="19" spans="1:6">
      <c r="A19" s="20">
        <v>5</v>
      </c>
      <c r="B19" s="20">
        <v>2014</v>
      </c>
      <c r="C19" s="20">
        <v>1879</v>
      </c>
      <c r="D19" s="27">
        <f t="shared" si="1"/>
        <v>1874.8156800000002</v>
      </c>
      <c r="E19" s="27">
        <f t="shared" si="2"/>
        <v>103.43731200000001</v>
      </c>
      <c r="F19" s="27">
        <f t="shared" si="0"/>
        <v>1978.2529920000002</v>
      </c>
    </row>
    <row r="20" spans="1:6">
      <c r="A20" s="20">
        <v>6</v>
      </c>
      <c r="B20" s="20">
        <v>2015</v>
      </c>
      <c r="C20" s="20">
        <v>1948</v>
      </c>
      <c r="D20" s="27">
        <f t="shared" si="1"/>
        <v>1954.0505984000001</v>
      </c>
      <c r="E20" s="27">
        <f t="shared" si="2"/>
        <v>93.756354559999991</v>
      </c>
      <c r="F20" s="27">
        <f t="shared" si="0"/>
        <v>2047.8069529600002</v>
      </c>
    </row>
    <row r="21" spans="1:6">
      <c r="A21" s="20">
        <v>7</v>
      </c>
      <c r="B21" s="20">
        <v>2016</v>
      </c>
      <c r="C21" s="20">
        <v>2013</v>
      </c>
      <c r="D21" s="27">
        <f t="shared" si="1"/>
        <v>2019.961390592</v>
      </c>
      <c r="E21" s="27">
        <f t="shared" si="2"/>
        <v>82.618129612799962</v>
      </c>
      <c r="F21" s="27">
        <f t="shared" si="0"/>
        <v>2102.5795202047998</v>
      </c>
    </row>
    <row r="22" spans="1:6">
      <c r="A22" s="20">
        <v>8</v>
      </c>
      <c r="B22" s="20">
        <v>2017</v>
      </c>
      <c r="C22" s="20">
        <v>2090</v>
      </c>
      <c r="D22" s="27">
        <f t="shared" si="1"/>
        <v>2092.5159040409599</v>
      </c>
      <c r="E22" s="27">
        <f t="shared" si="2"/>
        <v>78.592683147263898</v>
      </c>
      <c r="F22" s="27">
        <f t="shared" si="0"/>
        <v>2171.1085871882237</v>
      </c>
    </row>
    <row r="23" spans="1:6">
      <c r="A23" s="20">
        <v>9</v>
      </c>
      <c r="B23" s="20">
        <v>2018</v>
      </c>
      <c r="C23" s="20">
        <v>2173</v>
      </c>
      <c r="D23" s="27">
        <f t="shared" si="1"/>
        <v>2172.6217174376447</v>
      </c>
      <c r="E23" s="27">
        <f t="shared" si="2"/>
        <v>79.197935247032291</v>
      </c>
      <c r="F23" s="27">
        <f t="shared" si="0"/>
        <v>2251.8196526846768</v>
      </c>
    </row>
    <row r="24" spans="1:6">
      <c r="A24" s="20">
        <v>10</v>
      </c>
      <c r="B24" s="20">
        <v>2019</v>
      </c>
      <c r="C24" s="20">
        <v>2286</v>
      </c>
      <c r="D24" s="27">
        <f t="shared" si="1"/>
        <v>2279.1639305369354</v>
      </c>
      <c r="E24" s="27">
        <f t="shared" si="2"/>
        <v>90.135646387935623</v>
      </c>
      <c r="F24" s="27">
        <f t="shared" si="0"/>
        <v>2369.299576924871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44E7-2BB4-47B2-BF22-9D33AD8358A8}">
  <dimension ref="A1:F12"/>
  <sheetViews>
    <sheetView showFormulas="1" tabSelected="1" zoomScale="186" workbookViewId="0">
      <selection activeCell="E12" sqref="E12"/>
    </sheetView>
  </sheetViews>
  <sheetFormatPr defaultRowHeight="14.25"/>
  <cols>
    <col min="1" max="1" width="4.625" bestFit="1" customWidth="1"/>
    <col min="2" max="2" width="4.875" bestFit="1" customWidth="1"/>
    <col min="3" max="3" width="5.5" bestFit="1" customWidth="1"/>
    <col min="4" max="4" width="20.25" bestFit="1" customWidth="1"/>
    <col min="5" max="5" width="15.625" bestFit="1" customWidth="1"/>
    <col min="6" max="6" width="8.125" bestFit="1" customWidth="1"/>
  </cols>
  <sheetData>
    <row r="1" spans="1:6">
      <c r="A1" s="26" t="s">
        <v>52</v>
      </c>
      <c r="B1" s="26" t="s">
        <v>0</v>
      </c>
      <c r="C1" s="26" t="s">
        <v>6</v>
      </c>
      <c r="D1" t="s">
        <v>55</v>
      </c>
      <c r="E1" t="s">
        <v>54</v>
      </c>
      <c r="F1" s="26" t="s">
        <v>53</v>
      </c>
    </row>
    <row r="2" spans="1:6">
      <c r="A2" s="20">
        <v>1</v>
      </c>
      <c r="B2" s="20">
        <v>2010</v>
      </c>
      <c r="C2" s="20">
        <v>1451</v>
      </c>
      <c r="D2" s="27">
        <f>C2</f>
        <v>1451</v>
      </c>
      <c r="E2" s="27">
        <f>0</f>
        <v>0</v>
      </c>
      <c r="F2">
        <f>0</f>
        <v>0</v>
      </c>
    </row>
    <row r="3" spans="1:6">
      <c r="A3" s="20">
        <v>2</v>
      </c>
      <c r="B3" s="20">
        <v>2011</v>
      </c>
      <c r="C3" s="20">
        <v>1499</v>
      </c>
      <c r="D3" s="27">
        <f>0.5*C3+(1-0.5)*(D2+E2)</f>
        <v>1475</v>
      </c>
      <c r="E3" s="27">
        <f>0.5*(D3-D2)+(1-0.5)*E2</f>
        <v>12</v>
      </c>
      <c r="F3" s="27">
        <f>D2+E2</f>
        <v>1451</v>
      </c>
    </row>
    <row r="4" spans="1:6">
      <c r="A4" s="20">
        <v>3</v>
      </c>
      <c r="B4" s="20">
        <v>2012</v>
      </c>
      <c r="C4" s="20">
        <v>1686</v>
      </c>
      <c r="D4" s="27">
        <f t="shared" ref="D4:D11" si="0">0.5*C4+(1-0.5)*(D3+E3)</f>
        <v>1586.5</v>
      </c>
      <c r="E4" s="27">
        <f t="shared" ref="E4:E11" si="1">0.5*(D4-D3)+(1-0.5)*E3</f>
        <v>61.75</v>
      </c>
      <c r="F4" s="27">
        <f>D3+E3</f>
        <v>1487</v>
      </c>
    </row>
    <row r="5" spans="1:6">
      <c r="A5" s="20">
        <v>4</v>
      </c>
      <c r="B5" s="20">
        <v>2013</v>
      </c>
      <c r="C5" s="20">
        <v>1764</v>
      </c>
      <c r="D5" s="27">
        <f t="shared" si="0"/>
        <v>1706.125</v>
      </c>
      <c r="E5" s="27">
        <f t="shared" si="1"/>
        <v>90.6875</v>
      </c>
      <c r="F5" s="27">
        <f>D4+E4</f>
        <v>1648.25</v>
      </c>
    </row>
    <row r="6" spans="1:6">
      <c r="A6" s="20">
        <v>5</v>
      </c>
      <c r="B6" s="20">
        <v>2014</v>
      </c>
      <c r="C6" s="20">
        <v>1879</v>
      </c>
      <c r="D6" s="27">
        <f t="shared" si="0"/>
        <v>1837.90625</v>
      </c>
      <c r="E6" s="27">
        <f t="shared" si="1"/>
        <v>111.234375</v>
      </c>
      <c r="F6" s="27">
        <f>D5+E5</f>
        <v>1796.8125</v>
      </c>
    </row>
    <row r="7" spans="1:6">
      <c r="A7" s="20">
        <v>6</v>
      </c>
      <c r="B7" s="20">
        <v>2015</v>
      </c>
      <c r="C7" s="20">
        <v>1948</v>
      </c>
      <c r="D7" s="27">
        <f t="shared" si="0"/>
        <v>1948.5703125</v>
      </c>
      <c r="E7" s="27">
        <f t="shared" si="1"/>
        <v>110.94921875</v>
      </c>
      <c r="F7" s="27">
        <f>D6+E6</f>
        <v>1949.140625</v>
      </c>
    </row>
    <row r="8" spans="1:6">
      <c r="A8" s="20">
        <v>7</v>
      </c>
      <c r="B8" s="20">
        <v>2016</v>
      </c>
      <c r="C8" s="20">
        <v>2013</v>
      </c>
      <c r="D8" s="27">
        <f t="shared" si="0"/>
        <v>2036.259765625</v>
      </c>
      <c r="E8" s="27">
        <f t="shared" si="1"/>
        <v>99.3193359375</v>
      </c>
      <c r="F8" s="27">
        <f>D7+E7</f>
        <v>2059.51953125</v>
      </c>
    </row>
    <row r="9" spans="1:6">
      <c r="A9" s="20">
        <v>8</v>
      </c>
      <c r="B9" s="20">
        <v>2017</v>
      </c>
      <c r="C9" s="20">
        <v>2090</v>
      </c>
      <c r="D9" s="27">
        <f t="shared" si="0"/>
        <v>2112.78955078125</v>
      </c>
      <c r="E9" s="27">
        <f t="shared" si="1"/>
        <v>87.924560546875</v>
      </c>
      <c r="F9" s="27">
        <f>D8+E8</f>
        <v>2135.5791015625</v>
      </c>
    </row>
    <row r="10" spans="1:6">
      <c r="A10" s="20">
        <v>9</v>
      </c>
      <c r="B10" s="20">
        <v>2018</v>
      </c>
      <c r="C10" s="20">
        <v>2173</v>
      </c>
      <c r="D10" s="27">
        <f t="shared" si="0"/>
        <v>2186.8570556640625</v>
      </c>
      <c r="E10" s="27">
        <f t="shared" si="1"/>
        <v>80.99603271484375</v>
      </c>
      <c r="F10" s="27">
        <f>D9+E9</f>
        <v>2200.714111328125</v>
      </c>
    </row>
    <row r="11" spans="1:6">
      <c r="A11" s="20">
        <v>10</v>
      </c>
      <c r="B11" s="20">
        <v>2019</v>
      </c>
      <c r="C11" s="20">
        <v>2286</v>
      </c>
      <c r="D11" s="27">
        <f t="shared" si="0"/>
        <v>2276.9265441894531</v>
      </c>
      <c r="E11" s="27">
        <f t="shared" si="1"/>
        <v>85.532760620117188</v>
      </c>
      <c r="F11" s="27">
        <f>D10+E10</f>
        <v>2267.8530883789063</v>
      </c>
    </row>
    <row r="12" spans="1:6">
      <c r="A12" s="20">
        <v>11</v>
      </c>
      <c r="B12" s="20">
        <v>2020</v>
      </c>
      <c r="F12" s="27">
        <f>D11+E11</f>
        <v>2362.4593048095703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Moving Average</vt:lpstr>
      <vt:lpstr>Sheet1</vt:lpstr>
      <vt:lpstr>03-09</vt:lpstr>
      <vt:lpstr>04-09</vt:lpstr>
      <vt:lpstr>07-09</vt:lpstr>
      <vt:lpstr>09-09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Rohit Vedhanandh</cp:lastModifiedBy>
  <dcterms:modified xsi:type="dcterms:W3CDTF">2026-09-09T09:04:31Z</dcterms:modified>
</cp:coreProperties>
</file>