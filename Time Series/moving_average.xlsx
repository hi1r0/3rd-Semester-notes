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C2999F17-ED94-4B55-A7D4-60C378E95821}" xr6:coauthVersionLast="47" xr6:coauthVersionMax="47" xr10:uidLastSave="{00000000-0000-0000-0000-000000000000}"/>
  <bookViews>
    <workbookView xWindow="-120" yWindow="-120" windowWidth="29040" windowHeight="16440" activeTab="7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  <sheet name="09-09" sheetId="7" r:id="rId6"/>
    <sheet name="10-09" sheetId="8" r:id="rId7"/>
    <sheet name="11-09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9" l="1"/>
  <c r="C3" i="9" s="1"/>
  <c r="D3" i="9" s="1"/>
  <c r="J6" i="9"/>
  <c r="J5" i="9"/>
  <c r="J4" i="9"/>
  <c r="J3" i="9"/>
  <c r="D32" i="8"/>
  <c r="D33" i="8"/>
  <c r="D34" i="8"/>
  <c r="D31" i="8"/>
  <c r="C32" i="8"/>
  <c r="C31" i="8"/>
  <c r="B32" i="8"/>
  <c r="B33" i="8"/>
  <c r="C33" i="8" s="1"/>
  <c r="B34" i="8" s="1"/>
  <c r="C34" i="8" s="1"/>
  <c r="B31" i="8"/>
  <c r="C30" i="8"/>
  <c r="B30" i="8"/>
  <c r="D24" i="8"/>
  <c r="D25" i="8"/>
  <c r="D26" i="8"/>
  <c r="C25" i="8"/>
  <c r="C26" i="8"/>
  <c r="C24" i="8"/>
  <c r="B25" i="8"/>
  <c r="B26" i="8"/>
  <c r="B24" i="8"/>
  <c r="D23" i="8"/>
  <c r="C23" i="8"/>
  <c r="B23" i="8"/>
  <c r="E16" i="8"/>
  <c r="E17" i="8"/>
  <c r="E18" i="8"/>
  <c r="E15" i="8"/>
  <c r="D16" i="8"/>
  <c r="D17" i="8"/>
  <c r="D18" i="8"/>
  <c r="D15" i="8"/>
  <c r="B16" i="8"/>
  <c r="B17" i="8"/>
  <c r="B18" i="8"/>
  <c r="C16" i="8"/>
  <c r="C17" i="8"/>
  <c r="C18" i="8"/>
  <c r="C15" i="8"/>
  <c r="B15" i="8"/>
  <c r="I7" i="8"/>
  <c r="C7" i="8"/>
  <c r="D7" i="8"/>
  <c r="E7" i="8"/>
  <c r="B7" i="8"/>
  <c r="F2" i="7"/>
  <c r="E2" i="7"/>
  <c r="D2" i="7"/>
  <c r="D3" i="7" s="1"/>
  <c r="D15" i="5"/>
  <c r="E15" i="5"/>
  <c r="F15" i="5"/>
  <c r="D16" i="5"/>
  <c r="E16" i="5" s="1"/>
  <c r="D3" i="5"/>
  <c r="E3" i="5" s="1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  <c r="C14" i="9" l="1"/>
  <c r="D14" i="9" s="1"/>
  <c r="K12" i="9"/>
  <c r="C10" i="9"/>
  <c r="D10" i="9" s="1"/>
  <c r="C6" i="9"/>
  <c r="D6" i="9" s="1"/>
  <c r="C13" i="9"/>
  <c r="D13" i="9" s="1"/>
  <c r="K11" i="9"/>
  <c r="C9" i="9"/>
  <c r="D9" i="9" s="1"/>
  <c r="C5" i="9"/>
  <c r="D5" i="9" s="1"/>
  <c r="C12" i="9"/>
  <c r="D12" i="9" s="1"/>
  <c r="K10" i="9"/>
  <c r="C8" i="9"/>
  <c r="D8" i="9" s="1"/>
  <c r="C4" i="9"/>
  <c r="D4" i="9" s="1"/>
  <c r="C11" i="9"/>
  <c r="D11" i="9" s="1"/>
  <c r="K9" i="9"/>
  <c r="C7" i="9"/>
  <c r="D7" i="9" s="1"/>
  <c r="B9" i="8"/>
  <c r="E3" i="7"/>
  <c r="D4" i="7" s="1"/>
  <c r="E4" i="7" s="1"/>
  <c r="F3" i="7"/>
  <c r="D17" i="5"/>
  <c r="F16" i="5"/>
  <c r="I5" i="8" l="1"/>
  <c r="I6" i="8"/>
  <c r="I3" i="8"/>
  <c r="I4" i="8"/>
  <c r="F4" i="7"/>
  <c r="D5" i="7"/>
  <c r="E5" i="7" s="1"/>
  <c r="E17" i="5"/>
  <c r="D18" i="5" s="1"/>
  <c r="F17" i="5"/>
  <c r="E18" i="5" l="1"/>
  <c r="F18" i="5" s="1"/>
  <c r="D19" i="5"/>
  <c r="D6" i="7" l="1"/>
  <c r="E6" i="7" s="1"/>
  <c r="F5" i="7"/>
  <c r="D20" i="5"/>
  <c r="F19" i="5"/>
  <c r="E19" i="5"/>
  <c r="E20" i="5" l="1"/>
  <c r="F6" i="7" l="1"/>
  <c r="D7" i="7"/>
  <c r="E7" i="7" s="1"/>
  <c r="D21" i="5"/>
  <c r="F20" i="5"/>
  <c r="E21" i="5" l="1"/>
  <c r="D8" i="7" l="1"/>
  <c r="E8" i="7" s="1"/>
  <c r="F7" i="7"/>
  <c r="F21" i="5"/>
  <c r="D22" i="5"/>
  <c r="E22" i="5" l="1"/>
  <c r="F8" i="7" l="1"/>
  <c r="D9" i="7"/>
  <c r="E9" i="7" s="1"/>
  <c r="D23" i="5"/>
  <c r="F22" i="5"/>
  <c r="F9" i="7" l="1"/>
  <c r="D10" i="7"/>
  <c r="E10" i="7" s="1"/>
  <c r="E23" i="5"/>
  <c r="F23" i="5" l="1"/>
  <c r="D24" i="5"/>
  <c r="D11" i="7" l="1"/>
  <c r="E11" i="7" s="1"/>
  <c r="F10" i="7"/>
  <c r="F24" i="5"/>
  <c r="E24" i="5"/>
  <c r="F11" i="7" l="1"/>
  <c r="F12" i="7" l="1"/>
</calcChain>
</file>

<file path=xl/sharedStrings.xml><?xml version="1.0" encoding="utf-8"?>
<sst xmlns="http://schemas.openxmlformats.org/spreadsheetml/2006/main" count="178" uniqueCount="74">
  <si>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</si>
  <si>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</si>
  <si>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</si>
  <si>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</si>
  <si>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</si>
  <si>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</si>
  <si>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</si>
  <si>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</si>
  <si>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</si>
  <si>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</si>
  <si>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</si>
  <si>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</si>
  <si>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</si>
  <si>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</si>
  <si>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</si>
  <si>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</si>
  <si>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</si>
  <si>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</si>
  <si>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</si>
  <si>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</si>
  <si>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</si>
  <si>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</si>
  <si>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</si>
  <si>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</si>
  <si>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</si>
  <si>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</si>
  <si>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</si>
  <si>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</si>
  <si>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</si>
  <si>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</si>
  <si>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</si>
  <si>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</si>
  <si>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</si>
  <si>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</si>
  <si>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</si>
  <si>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</si>
  <si>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</si>
  <si>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</si>
  <si>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</si>
  <si>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</si>
  <si>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</si>
  <si>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</si>
  <si>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</si>
  <si>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</si>
  <si>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</si>
  <si>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</si>
  <si>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</si>
  <si>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</si>
  <si>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</si>
  <si>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</si>
  <si>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</si>
  <si>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</si>
  <si>
    <t>Row</t>
  </si>
  <si>
    <t>Forecast</t>
  </si>
  <si>
    <t>Trend (beta = 0.5)</t>
  </si>
  <si>
    <t>Smoothed (alpha = 0.5)</t>
  </si>
  <si>
    <t>AVERAGE</t>
  </si>
  <si>
    <t xml:space="preserve">Total average = </t>
  </si>
  <si>
    <t>SEASONAL INDEX</t>
  </si>
  <si>
    <t>TOTAL</t>
  </si>
  <si>
    <t>DESEASONALIZED DATA</t>
  </si>
  <si>
    <t>At</t>
  </si>
  <si>
    <t>Ft (alpha = 0.5)</t>
  </si>
  <si>
    <t>Ft (alpha = 1)</t>
  </si>
  <si>
    <t>Ft (alpha = 0)</t>
  </si>
  <si>
    <t>EXPONENTIAL SMOOTHING METHOD (SINGLE)</t>
  </si>
  <si>
    <t>EXPONENTIAL SMOOTHING METHOD (DOUBLE)</t>
  </si>
  <si>
    <t>Lt</t>
  </si>
  <si>
    <t>Tt</t>
  </si>
  <si>
    <t>Ft</t>
  </si>
  <si>
    <t>QUARTER</t>
  </si>
  <si>
    <t>DSI</t>
  </si>
  <si>
    <t>Qn AVG</t>
  </si>
  <si>
    <t>RATIO-TO-MOVING-AVERAGE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</si>
</sst>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4" fillId="0" borderId="0" xfId="0" applyNumberFormat="1" applyFont="1" applyAlignment="1">
      <alignment vertic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228600</xdr:colOff>
      <xdr:row>21</xdr:row>
      <xdr:rowOff>133350</xdr:rowOff>
    </xdr:from>
    <xdr:to>
      <xdr:col>9</xdr:col>
      <xdr:colOff>133624</xdr:colOff>
      <xdr:row>23</xdr:row>
      <xdr:rowOff>123874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521824-404E-507A-0D6F-AB9B84C48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0" y="3962400"/>
          <a:ext cx="1962424" cy="352474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28</xdr:row>
      <xdr:rowOff>28575</xdr:rowOff>
    </xdr:from>
    <xdr:to>
      <xdr:col>11</xdr:col>
      <xdr:colOff>391151</xdr:colOff>
      <xdr:row>40</xdr:row>
      <xdr:rowOff>124141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55643E-70C5-0ADE-27DE-17B353AE6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91050" y="5133975"/>
          <a:ext cx="4486901" cy="22672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E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24"/>
  <sheetViews>
    <sheetView workbookViewId="0">
      <selection activeCell="A14" sqref="A14:F24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  <row r="14" spans="1:13">
      <c r="A14" s="26" t="s">
        <v>52</v>
      </c>
      <c r="B14" s="26" t="s">
        <v>0</v>
      </c>
      <c r="C14" s="26" t="s">
        <v>6</v>
      </c>
      <c r="D14" t="s">
        <v>50</v>
      </c>
      <c r="E14" t="s">
        <v>51</v>
      </c>
      <c r="F14" s="26" t="s">
        <v>53</v>
      </c>
    </row>
    <row r="15" spans="1:13">
      <c r="A15" s="20">
        <v>1</v>
      </c>
      <c r="B15" s="20">
        <v>2010</v>
      </c>
      <c r="C15" s="20">
        <v>1451</v>
      </c>
      <c r="D15" s="27">
        <f>C15</f>
        <v>1451</v>
      </c>
      <c r="E15" s="27">
        <f>C16-C15</f>
        <v>48</v>
      </c>
      <c r="F15" s="27">
        <f t="shared" ref="F15:F24" si="0">D15+E15</f>
        <v>1499</v>
      </c>
    </row>
    <row r="16" spans="1:13">
      <c r="A16" s="20">
        <v>2</v>
      </c>
      <c r="B16" s="20">
        <v>2011</v>
      </c>
      <c r="C16" s="20">
        <v>1499</v>
      </c>
      <c r="D16" s="27">
        <f t="shared" ref="D16:D24" si="1">0.8*C16+0.2*(D15+E15)</f>
        <v>1499</v>
      </c>
      <c r="E16" s="27">
        <f t="shared" ref="E16:E24" si="2">0.4*(D16-D15)+0.6*E15</f>
        <v>48</v>
      </c>
      <c r="F16" s="27">
        <f t="shared" si="0"/>
        <v>1547</v>
      </c>
    </row>
    <row r="17" spans="1:6">
      <c r="A17" s="20">
        <v>3</v>
      </c>
      <c r="B17" s="20">
        <v>2012</v>
      </c>
      <c r="C17" s="20">
        <v>1686</v>
      </c>
      <c r="D17" s="27">
        <f t="shared" si="1"/>
        <v>1658.2000000000003</v>
      </c>
      <c r="E17" s="27">
        <f t="shared" si="2"/>
        <v>92.480000000000103</v>
      </c>
      <c r="F17" s="27">
        <f t="shared" si="0"/>
        <v>1750.6800000000003</v>
      </c>
    </row>
    <row r="18" spans="1:6">
      <c r="A18" s="20">
        <v>4</v>
      </c>
      <c r="B18" s="20">
        <v>2013</v>
      </c>
      <c r="C18" s="20">
        <v>1764</v>
      </c>
      <c r="D18" s="27">
        <f t="shared" si="1"/>
        <v>1761.3360000000002</v>
      </c>
      <c r="E18" s="27">
        <f t="shared" si="2"/>
        <v>96.74240000000006</v>
      </c>
      <c r="F18" s="27">
        <f t="shared" si="0"/>
        <v>1858.0784000000003</v>
      </c>
    </row>
    <row r="19" spans="1:6">
      <c r="A19" s="20">
        <v>5</v>
      </c>
      <c r="B19" s="20">
        <v>2014</v>
      </c>
      <c r="C19" s="20">
        <v>1879</v>
      </c>
      <c r="D19" s="27">
        <f t="shared" si="1"/>
        <v>1874.8156800000002</v>
      </c>
      <c r="E19" s="27">
        <f t="shared" si="2"/>
        <v>103.43731200000001</v>
      </c>
      <c r="F19" s="27">
        <f t="shared" si="0"/>
        <v>1978.2529920000002</v>
      </c>
    </row>
    <row r="20" spans="1:6">
      <c r="A20" s="20">
        <v>6</v>
      </c>
      <c r="B20" s="20">
        <v>2015</v>
      </c>
      <c r="C20" s="20">
        <v>1948</v>
      </c>
      <c r="D20" s="27">
        <f t="shared" si="1"/>
        <v>1954.0505984000001</v>
      </c>
      <c r="E20" s="27">
        <f t="shared" si="2"/>
        <v>93.756354559999991</v>
      </c>
      <c r="F20" s="27">
        <f t="shared" si="0"/>
        <v>2047.8069529600002</v>
      </c>
    </row>
    <row r="21" spans="1:6">
      <c r="A21" s="20">
        <v>7</v>
      </c>
      <c r="B21" s="20">
        <v>2016</v>
      </c>
      <c r="C21" s="20">
        <v>2013</v>
      </c>
      <c r="D21" s="27">
        <f t="shared" si="1"/>
        <v>2019.961390592</v>
      </c>
      <c r="E21" s="27">
        <f t="shared" si="2"/>
        <v>82.618129612799962</v>
      </c>
      <c r="F21" s="27">
        <f t="shared" si="0"/>
        <v>2102.5795202047998</v>
      </c>
    </row>
    <row r="22" spans="1:6">
      <c r="A22" s="20">
        <v>8</v>
      </c>
      <c r="B22" s="20">
        <v>2017</v>
      </c>
      <c r="C22" s="20">
        <v>2090</v>
      </c>
      <c r="D22" s="27">
        <f t="shared" si="1"/>
        <v>2092.5159040409599</v>
      </c>
      <c r="E22" s="27">
        <f t="shared" si="2"/>
        <v>78.592683147263898</v>
      </c>
      <c r="F22" s="27">
        <f t="shared" si="0"/>
        <v>2171.1085871882237</v>
      </c>
    </row>
    <row r="23" spans="1:6">
      <c r="A23" s="20">
        <v>9</v>
      </c>
      <c r="B23" s="20">
        <v>2018</v>
      </c>
      <c r="C23" s="20">
        <v>2173</v>
      </c>
      <c r="D23" s="27">
        <f t="shared" si="1"/>
        <v>2172.6217174376447</v>
      </c>
      <c r="E23" s="27">
        <f t="shared" si="2"/>
        <v>79.197935247032291</v>
      </c>
      <c r="F23" s="27">
        <f t="shared" si="0"/>
        <v>2251.8196526846768</v>
      </c>
    </row>
    <row r="24" spans="1:6">
      <c r="A24" s="20">
        <v>10</v>
      </c>
      <c r="B24" s="20">
        <v>2019</v>
      </c>
      <c r="C24" s="20">
        <v>2286</v>
      </c>
      <c r="D24" s="27">
        <f t="shared" si="1"/>
        <v>2279.1639305369354</v>
      </c>
      <c r="E24" s="27">
        <f t="shared" si="2"/>
        <v>90.135646387935623</v>
      </c>
      <c r="F24" s="27">
        <f t="shared" si="0"/>
        <v>2369.299576924871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44E7-2BB4-47B2-BF22-9D33AD8358A8}">
  <dimension ref="A1:F12"/>
  <sheetViews>
    <sheetView showFormulas="1" zoomScale="186" workbookViewId="0">
      <selection activeCell="E12" sqref="E12"/>
    </sheetView>
  </sheetViews>
  <sheetFormatPr defaultRowHeight="14.25"/>
  <cols>
    <col min="1" max="1" width="4.625" bestFit="1" customWidth="1"/>
    <col min="2" max="2" width="4.875" bestFit="1" customWidth="1"/>
    <col min="3" max="3" width="5.5" bestFit="1" customWidth="1"/>
    <col min="4" max="4" width="20.25" bestFit="1" customWidth="1"/>
    <col min="5" max="5" width="15.625" bestFit="1" customWidth="1"/>
    <col min="6" max="6" width="8.125" bestFit="1" customWidth="1"/>
  </cols>
  <sheetData>
    <row r="1" spans="1:6">
      <c r="A1" s="26" t="s">
        <v>52</v>
      </c>
      <c r="B1" s="26" t="s">
        <v>0</v>
      </c>
      <c r="C1" s="26" t="s">
        <v>6</v>
      </c>
      <c r="D1" t="s">
        <v>55</v>
      </c>
      <c r="E1" t="s">
        <v>54</v>
      </c>
      <c r="F1" s="26" t="s">
        <v>53</v>
      </c>
    </row>
    <row r="2" spans="1:6">
      <c r="A2" s="20">
        <v>1</v>
      </c>
      <c r="B2" s="20">
        <v>2010</v>
      </c>
      <c r="C2" s="20">
        <v>1451</v>
      </c>
      <c r="D2" s="27">
        <f>C2</f>
        <v>1451</v>
      </c>
      <c r="E2" s="27">
        <f>0</f>
        <v>0</v>
      </c>
      <c r="F2">
        <f>0</f>
        <v>0</v>
      </c>
    </row>
    <row r="3" spans="1:6">
      <c r="A3" s="20">
        <v>2</v>
      </c>
      <c r="B3" s="20">
        <v>2011</v>
      </c>
      <c r="C3" s="20">
        <v>1499</v>
      </c>
      <c r="D3" s="27">
        <f>0.5*C3+(1-0.5)*(D2+E2)</f>
        <v>1475</v>
      </c>
      <c r="E3" s="27">
        <f>0.5*(D3-D2)+(1-0.5)*E2</f>
        <v>12</v>
      </c>
      <c r="F3" s="27">
        <f t="shared" ref="F3:F12" si="0">D2+E2</f>
        <v>1451</v>
      </c>
    </row>
    <row r="4" spans="1:6">
      <c r="A4" s="20">
        <v>3</v>
      </c>
      <c r="B4" s="20">
        <v>2012</v>
      </c>
      <c r="C4" s="20">
        <v>1686</v>
      </c>
      <c r="D4" s="27">
        <f t="shared" ref="D4:D11" si="1">0.5*C4+(1-0.5)*(D3+E3)</f>
        <v>1586.5</v>
      </c>
      <c r="E4" s="27">
        <f t="shared" ref="E4:E11" si="2">0.5*(D4-D3)+(1-0.5)*E3</f>
        <v>61.75</v>
      </c>
      <c r="F4" s="27">
        <f t="shared" si="0"/>
        <v>1487</v>
      </c>
    </row>
    <row r="5" spans="1:6">
      <c r="A5" s="20">
        <v>4</v>
      </c>
      <c r="B5" s="20">
        <v>2013</v>
      </c>
      <c r="C5" s="20">
        <v>1764</v>
      </c>
      <c r="D5" s="27">
        <f t="shared" si="1"/>
        <v>1706.125</v>
      </c>
      <c r="E5" s="27">
        <f t="shared" si="2"/>
        <v>90.6875</v>
      </c>
      <c r="F5" s="27">
        <f t="shared" si="0"/>
        <v>1648.25</v>
      </c>
    </row>
    <row r="6" spans="1:6">
      <c r="A6" s="20">
        <v>5</v>
      </c>
      <c r="B6" s="20">
        <v>2014</v>
      </c>
      <c r="C6" s="20">
        <v>1879</v>
      </c>
      <c r="D6" s="27">
        <f t="shared" si="1"/>
        <v>1837.90625</v>
      </c>
      <c r="E6" s="27">
        <f t="shared" si="2"/>
        <v>111.234375</v>
      </c>
      <c r="F6" s="27">
        <f t="shared" si="0"/>
        <v>1796.8125</v>
      </c>
    </row>
    <row r="7" spans="1:6">
      <c r="A7" s="20">
        <v>6</v>
      </c>
      <c r="B7" s="20">
        <v>2015</v>
      </c>
      <c r="C7" s="20">
        <v>1948</v>
      </c>
      <c r="D7" s="27">
        <f t="shared" si="1"/>
        <v>1948.5703125</v>
      </c>
      <c r="E7" s="27">
        <f t="shared" si="2"/>
        <v>110.94921875</v>
      </c>
      <c r="F7" s="27">
        <f t="shared" si="0"/>
        <v>1949.140625</v>
      </c>
    </row>
    <row r="8" spans="1:6">
      <c r="A8" s="20">
        <v>7</v>
      </c>
      <c r="B8" s="20">
        <v>2016</v>
      </c>
      <c r="C8" s="20">
        <v>2013</v>
      </c>
      <c r="D8" s="27">
        <f t="shared" si="1"/>
        <v>2036.259765625</v>
      </c>
      <c r="E8" s="27">
        <f t="shared" si="2"/>
        <v>99.3193359375</v>
      </c>
      <c r="F8" s="27">
        <f t="shared" si="0"/>
        <v>2059.51953125</v>
      </c>
    </row>
    <row r="9" spans="1:6">
      <c r="A9" s="20">
        <v>8</v>
      </c>
      <c r="B9" s="20">
        <v>2017</v>
      </c>
      <c r="C9" s="20">
        <v>2090</v>
      </c>
      <c r="D9" s="27">
        <f t="shared" si="1"/>
        <v>2112.78955078125</v>
      </c>
      <c r="E9" s="27">
        <f t="shared" si="2"/>
        <v>87.924560546875</v>
      </c>
      <c r="F9" s="27">
        <f t="shared" si="0"/>
        <v>2135.5791015625</v>
      </c>
    </row>
    <row r="10" spans="1:6">
      <c r="A10" s="20">
        <v>9</v>
      </c>
      <c r="B10" s="20">
        <v>2018</v>
      </c>
      <c r="C10" s="20">
        <v>2173</v>
      </c>
      <c r="D10" s="27">
        <f t="shared" si="1"/>
        <v>2186.8570556640625</v>
      </c>
      <c r="E10" s="27">
        <f t="shared" si="2"/>
        <v>80.99603271484375</v>
      </c>
      <c r="F10" s="27">
        <f t="shared" si="0"/>
        <v>2200.714111328125</v>
      </c>
    </row>
    <row r="11" spans="1:6">
      <c r="A11" s="20">
        <v>10</v>
      </c>
      <c r="B11" s="20">
        <v>2019</v>
      </c>
      <c r="C11" s="20">
        <v>2286</v>
      </c>
      <c r="D11" s="27">
        <f t="shared" si="1"/>
        <v>2276.9265441894531</v>
      </c>
      <c r="E11" s="27">
        <f t="shared" si="2"/>
        <v>85.532760620117188</v>
      </c>
      <c r="F11" s="27">
        <f t="shared" si="0"/>
        <v>2267.8530883789063</v>
      </c>
    </row>
    <row r="12" spans="1:6">
      <c r="A12" s="20">
        <v>11</v>
      </c>
      <c r="B12" s="20">
        <v>2020</v>
      </c>
      <c r="F12" s="27">
        <f t="shared" si="0"/>
        <v>2362.4593048095703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3D8C-583C-4382-829E-773D66918166}">
  <dimension ref="A1:I34"/>
  <sheetViews>
    <sheetView workbookViewId="0">
      <selection activeCell="A28" sqref="A28:I28"/>
    </sheetView>
  </sheetViews>
  <sheetFormatPr defaultRowHeight="14.25"/>
  <cols>
    <col min="1" max="1" width="14.125" bestFit="1" customWidth="1"/>
    <col min="2" max="2" width="13.375" bestFit="1" customWidth="1"/>
    <col min="3" max="4" width="11.75" bestFit="1" customWidth="1"/>
  </cols>
  <sheetData>
    <row r="1" spans="1:9" ht="15">
      <c r="A1" s="33" t="s">
        <v>58</v>
      </c>
      <c r="B1" s="33"/>
      <c r="C1" s="33"/>
      <c r="D1" s="33"/>
      <c r="E1" s="33"/>
      <c r="F1" s="33"/>
      <c r="G1" s="33"/>
      <c r="H1" s="33"/>
      <c r="I1" s="33"/>
    </row>
    <row r="2" spans="1:9">
      <c r="B2" t="s">
        <v>22</v>
      </c>
      <c r="C2" t="s">
        <v>24</v>
      </c>
      <c r="D2" t="s">
        <v>26</v>
      </c>
      <c r="E2" t="s">
        <v>28</v>
      </c>
    </row>
    <row r="3" spans="1:9">
      <c r="A3">
        <v>2011</v>
      </c>
      <c r="B3" s="28">
        <v>3.7</v>
      </c>
      <c r="C3" s="28">
        <v>4.7</v>
      </c>
      <c r="D3" s="28">
        <v>3.3</v>
      </c>
      <c r="E3" s="28">
        <v>3.5</v>
      </c>
      <c r="G3" s="32" t="s">
        <v>43</v>
      </c>
      <c r="H3" t="s">
        <v>22</v>
      </c>
      <c r="I3">
        <f>B7/$B$9</f>
        <v>0.97674418604651181</v>
      </c>
    </row>
    <row r="4" spans="1:9">
      <c r="A4">
        <v>2012</v>
      </c>
      <c r="B4" s="28">
        <v>3.7</v>
      </c>
      <c r="C4" s="28">
        <v>3.9</v>
      </c>
      <c r="D4" s="28">
        <v>3.6</v>
      </c>
      <c r="E4" s="28">
        <v>3.6</v>
      </c>
      <c r="G4" s="32"/>
      <c r="H4" t="s">
        <v>24</v>
      </c>
      <c r="I4">
        <f>C7/$B$9</f>
        <v>1.1362126245847179</v>
      </c>
    </row>
    <row r="5" spans="1:9">
      <c r="A5">
        <v>2013</v>
      </c>
      <c r="B5" s="28">
        <v>4</v>
      </c>
      <c r="C5" s="28">
        <v>4.0999999999999996</v>
      </c>
      <c r="D5" s="28">
        <v>3.3</v>
      </c>
      <c r="E5" s="28">
        <v>3.1</v>
      </c>
      <c r="G5" s="32"/>
      <c r="H5" t="s">
        <v>26</v>
      </c>
      <c r="I5">
        <f>D7/$B$9</f>
        <v>0.94352159468438557</v>
      </c>
    </row>
    <row r="6" spans="1:9">
      <c r="A6">
        <v>2014</v>
      </c>
      <c r="B6" s="28">
        <v>3.3</v>
      </c>
      <c r="C6" s="28">
        <v>4.4000000000000004</v>
      </c>
      <c r="D6" s="28">
        <v>4</v>
      </c>
      <c r="E6" s="28">
        <v>4</v>
      </c>
      <c r="G6" s="32"/>
      <c r="H6" t="s">
        <v>28</v>
      </c>
      <c r="I6">
        <f>E7/$B$9</f>
        <v>0.94352159468438557</v>
      </c>
    </row>
    <row r="7" spans="1:9">
      <c r="A7" t="s">
        <v>56</v>
      </c>
      <c r="B7" s="28">
        <f>AVERAGE(B3:B6)</f>
        <v>3.6749999999999998</v>
      </c>
      <c r="C7" s="28">
        <f t="shared" ref="C7:E7" si="0">AVERAGE(C3:C6)</f>
        <v>4.2750000000000004</v>
      </c>
      <c r="D7" s="28">
        <f t="shared" si="0"/>
        <v>3.55</v>
      </c>
      <c r="E7" s="28">
        <f t="shared" si="0"/>
        <v>3.55</v>
      </c>
      <c r="H7" t="s">
        <v>59</v>
      </c>
      <c r="I7">
        <f>SUM(I3:I6)</f>
        <v>4.0000000000000009</v>
      </c>
    </row>
    <row r="9" spans="1:9">
      <c r="A9" t="s">
        <v>57</v>
      </c>
      <c r="B9" s="28">
        <f>AVERAGE(B3:E7)</f>
        <v>3.7624999999999993</v>
      </c>
    </row>
    <row r="12" spans="1:9" ht="15">
      <c r="A12" s="33" t="s">
        <v>60</v>
      </c>
      <c r="B12" s="33"/>
      <c r="C12" s="33"/>
      <c r="D12" s="33"/>
      <c r="E12" s="33"/>
      <c r="F12" s="33"/>
      <c r="G12" s="33"/>
      <c r="H12" s="33"/>
      <c r="I12" s="33"/>
    </row>
    <row r="14" spans="1:9">
      <c r="B14" t="s">
        <v>22</v>
      </c>
      <c r="C14" t="s">
        <v>24</v>
      </c>
      <c r="D14" t="s">
        <v>26</v>
      </c>
      <c r="E14" t="s">
        <v>28</v>
      </c>
    </row>
    <row r="15" spans="1:9">
      <c r="A15">
        <v>2011</v>
      </c>
      <c r="B15" s="30">
        <f>B3/$I$3</f>
        <v>3.7880952380952375</v>
      </c>
      <c r="C15" s="30">
        <f>C3/$I$4</f>
        <v>4.1365497076023381</v>
      </c>
      <c r="D15" s="30">
        <f>D3/$I$5</f>
        <v>3.4975352112676048</v>
      </c>
      <c r="E15" s="30">
        <f>E3/$I$6</f>
        <v>3.7095070422535206</v>
      </c>
    </row>
    <row r="16" spans="1:9">
      <c r="A16">
        <v>2012</v>
      </c>
      <c r="B16" s="30">
        <f t="shared" ref="B16:B18" si="1">B4/$I$3</f>
        <v>3.7880952380952375</v>
      </c>
      <c r="C16" s="30">
        <f t="shared" ref="C16:C18" si="2">C4/$I$4</f>
        <v>3.432456140350876</v>
      </c>
      <c r="D16" s="30">
        <f t="shared" ref="D16:D18" si="3">D4/$I$5</f>
        <v>3.815492957746478</v>
      </c>
      <c r="E16" s="30">
        <f t="shared" ref="E16:E18" si="4">E4/$I$6</f>
        <v>3.815492957746478</v>
      </c>
    </row>
    <row r="17" spans="1:9">
      <c r="A17">
        <v>2013</v>
      </c>
      <c r="B17" s="30">
        <f t="shared" si="1"/>
        <v>4.0952380952380949</v>
      </c>
      <c r="C17" s="30">
        <f t="shared" si="2"/>
        <v>3.6084795321637415</v>
      </c>
      <c r="D17" s="30">
        <f t="shared" si="3"/>
        <v>3.4975352112676048</v>
      </c>
      <c r="E17" s="30">
        <f t="shared" si="4"/>
        <v>3.2855633802816895</v>
      </c>
    </row>
    <row r="18" spans="1:9">
      <c r="A18">
        <v>2014</v>
      </c>
      <c r="B18" s="30">
        <f t="shared" si="1"/>
        <v>3.3785714285714277</v>
      </c>
      <c r="C18" s="30">
        <f t="shared" si="2"/>
        <v>3.8725146198830402</v>
      </c>
      <c r="D18" s="30">
        <f t="shared" si="3"/>
        <v>4.2394366197183091</v>
      </c>
      <c r="E18" s="30">
        <f t="shared" si="4"/>
        <v>4.2394366197183091</v>
      </c>
    </row>
    <row r="21" spans="1:9" ht="15">
      <c r="A21" s="33" t="s">
        <v>65</v>
      </c>
      <c r="B21" s="33"/>
      <c r="C21" s="33"/>
      <c r="D21" s="33"/>
      <c r="E21" s="33"/>
      <c r="F21" s="33"/>
      <c r="G21" s="33"/>
      <c r="H21" s="33"/>
      <c r="I21" s="33"/>
    </row>
    <row r="22" spans="1:9">
      <c r="A22" s="29" t="s">
        <v>61</v>
      </c>
      <c r="B22" s="29" t="s">
        <v>62</v>
      </c>
      <c r="C22" s="29" t="s">
        <v>63</v>
      </c>
      <c r="D22" s="29" t="s">
        <v>64</v>
      </c>
    </row>
    <row r="23" spans="1:9">
      <c r="A23" s="29">
        <v>1.2</v>
      </c>
      <c r="B23" s="29">
        <f>A23</f>
        <v>1.2</v>
      </c>
      <c r="C23" s="29">
        <f>A23</f>
        <v>1.2</v>
      </c>
      <c r="D23" s="26">
        <f>A23</f>
        <v>1.2</v>
      </c>
    </row>
    <row r="24" spans="1:9">
      <c r="A24" s="29">
        <v>0.9</v>
      </c>
      <c r="B24" s="29">
        <f>0.5*A23+(1-0.5)*B23</f>
        <v>1.2</v>
      </c>
      <c r="C24" s="29">
        <f>1*A23+(1-1)*B23</f>
        <v>1.2</v>
      </c>
      <c r="D24" s="26">
        <f>0*A23+(1-0)*B23</f>
        <v>1.2</v>
      </c>
    </row>
    <row r="25" spans="1:9">
      <c r="A25" s="29">
        <v>0.7</v>
      </c>
      <c r="B25" s="29">
        <f t="shared" ref="B25:B26" si="5">0.5*A24+(1-0.5)*B24</f>
        <v>1.05</v>
      </c>
      <c r="C25" s="29">
        <f t="shared" ref="C25:C26" si="6">1*A24+(1-1)*B24</f>
        <v>0.9</v>
      </c>
      <c r="D25" s="26">
        <f t="shared" ref="D25:D26" si="7">0*A24+(1-0)*B24</f>
        <v>1.2</v>
      </c>
    </row>
    <row r="26" spans="1:9">
      <c r="A26" s="29">
        <v>1.3</v>
      </c>
      <c r="B26" s="29">
        <f t="shared" si="5"/>
        <v>0.875</v>
      </c>
      <c r="C26" s="29">
        <f t="shared" si="6"/>
        <v>0.7</v>
      </c>
      <c r="D26" s="26">
        <f t="shared" si="7"/>
        <v>1.05</v>
      </c>
    </row>
    <row r="28" spans="1:9" ht="15">
      <c r="A28" s="33" t="s">
        <v>66</v>
      </c>
      <c r="B28" s="33"/>
      <c r="C28" s="33"/>
      <c r="D28" s="33"/>
      <c r="E28" s="33"/>
      <c r="F28" s="33"/>
      <c r="G28" s="33"/>
      <c r="H28" s="33"/>
      <c r="I28" s="33"/>
    </row>
    <row r="29" spans="1:9">
      <c r="A29" s="29" t="s">
        <v>61</v>
      </c>
      <c r="B29" s="29" t="s">
        <v>67</v>
      </c>
      <c r="C29" s="29" t="s">
        <v>68</v>
      </c>
      <c r="D29" s="29" t="s">
        <v>69</v>
      </c>
      <c r="E29" s="29"/>
    </row>
    <row r="30" spans="1:9">
      <c r="A30" s="29">
        <v>64</v>
      </c>
      <c r="B30" s="29">
        <f>A30</f>
        <v>64</v>
      </c>
      <c r="C30" s="29">
        <f>A31-A30</f>
        <v>18</v>
      </c>
      <c r="D30" s="29">
        <v>0</v>
      </c>
      <c r="E30" s="29"/>
    </row>
    <row r="31" spans="1:9">
      <c r="A31" s="29">
        <v>82</v>
      </c>
      <c r="B31" s="29">
        <f>0.5*A31+(1-0.5)*(B30+C30)</f>
        <v>82</v>
      </c>
      <c r="C31" s="29">
        <f>0.5*(B31-B30)+(1-0.5)*C30</f>
        <v>18</v>
      </c>
      <c r="D31" s="29">
        <f>B31+C31</f>
        <v>100</v>
      </c>
      <c r="E31" s="29"/>
    </row>
    <row r="32" spans="1:9">
      <c r="A32" s="29">
        <v>92</v>
      </c>
      <c r="B32" s="29">
        <f t="shared" ref="B32:B34" si="8">0.5*A32+(1-0.5)*(B31+C31)</f>
        <v>96</v>
      </c>
      <c r="C32" s="29">
        <f t="shared" ref="C32:C34" si="9">0.5*(B32-B31)+(1-0.5)*C31</f>
        <v>16</v>
      </c>
      <c r="D32" s="29">
        <f t="shared" ref="D32:D34" si="10">B32+C32</f>
        <v>112</v>
      </c>
      <c r="E32" s="29"/>
    </row>
    <row r="33" spans="1:5">
      <c r="A33" s="29">
        <v>95</v>
      </c>
      <c r="B33" s="29">
        <f t="shared" si="8"/>
        <v>103.5</v>
      </c>
      <c r="C33" s="29">
        <f t="shared" si="9"/>
        <v>11.75</v>
      </c>
      <c r="D33" s="29">
        <f t="shared" si="10"/>
        <v>115.25</v>
      </c>
      <c r="E33" s="29"/>
    </row>
    <row r="34" spans="1:5">
      <c r="A34" s="29">
        <v>106</v>
      </c>
      <c r="B34" s="29">
        <f t="shared" si="8"/>
        <v>110.625</v>
      </c>
      <c r="C34" s="29">
        <f t="shared" si="9"/>
        <v>9.4375</v>
      </c>
      <c r="D34" s="29">
        <f t="shared" si="10"/>
        <v>120.0625</v>
      </c>
      <c r="E34" s="29"/>
    </row>
  </sheetData>
  <mergeCells count="5">
    <mergeCell ref="G3:G6"/>
    <mergeCell ref="A1:I1"/>
    <mergeCell ref="A12:I12"/>
    <mergeCell ref="A21:I21"/>
    <mergeCell ref="A28:I28"/>
  </mergeCells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7D48-4F91-42E2-9B82-1240E1E85416}">
  <dimension ref="A1:K16"/>
  <sheetViews>
    <sheetView tabSelected="1" zoomScaleNormal="100" workbookViewId="0">
      <selection activeCell="H23" sqref="H23"/>
    </sheetView>
  </sheetViews>
  <sheetFormatPr defaultRowHeight="14.25"/>
  <sheetData>
    <row r="1" spans="1:11" ht="15">
      <c r="A1" s="33" t="s">
        <v>73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>
      <c r="A2" s="29" t="s">
        <v>70</v>
      </c>
      <c r="B2" s="29"/>
      <c r="C2" s="29" t="s">
        <v>43</v>
      </c>
      <c r="D2" s="29" t="s">
        <v>71</v>
      </c>
      <c r="E2" s="29"/>
      <c r="F2" s="29"/>
      <c r="G2" s="29"/>
      <c r="H2" s="29"/>
      <c r="I2" s="29"/>
      <c r="J2" s="29"/>
      <c r="K2" s="29"/>
    </row>
    <row r="3" spans="1:11">
      <c r="A3" s="29" t="s">
        <v>22</v>
      </c>
      <c r="B3" s="29">
        <v>4.8</v>
      </c>
      <c r="C3" s="29">
        <f>J3/B16</f>
        <v>0.90340136054421794</v>
      </c>
      <c r="D3" s="29">
        <f>B3/C3</f>
        <v>5.3132530120481913</v>
      </c>
      <c r="E3" s="29"/>
      <c r="F3" s="29"/>
      <c r="G3" s="29"/>
      <c r="H3" s="32" t="s">
        <v>72</v>
      </c>
      <c r="I3" s="29" t="s">
        <v>22</v>
      </c>
      <c r="J3" s="31">
        <f>(B3+B7+B11)/3</f>
        <v>5.5333333333333341</v>
      </c>
      <c r="K3" s="29"/>
    </row>
    <row r="4" spans="1:11">
      <c r="A4" s="29" t="s">
        <v>24</v>
      </c>
      <c r="B4" s="29">
        <v>4.0999999999999996</v>
      </c>
      <c r="C4" s="29">
        <f>J4/B16</f>
        <v>0.8108843537414967</v>
      </c>
      <c r="D4" s="29">
        <f t="shared" ref="D4:D14" si="0">B4/C4</f>
        <v>5.0562080536912744</v>
      </c>
      <c r="E4" s="29"/>
      <c r="F4" s="29"/>
      <c r="G4" s="29"/>
      <c r="H4" s="32"/>
      <c r="I4" s="29" t="s">
        <v>24</v>
      </c>
      <c r="J4" s="31">
        <f>(B4+B8+B12)/3</f>
        <v>4.9666666666666668</v>
      </c>
      <c r="K4" s="29"/>
    </row>
    <row r="5" spans="1:11">
      <c r="A5" s="29" t="s">
        <v>26</v>
      </c>
      <c r="B5" s="29">
        <v>6</v>
      </c>
      <c r="C5" s="29">
        <f>J5/B16</f>
        <v>1.1047619047619048</v>
      </c>
      <c r="D5" s="29">
        <f t="shared" si="0"/>
        <v>5.4310344827586201</v>
      </c>
      <c r="E5" s="29"/>
      <c r="F5" s="29"/>
      <c r="G5" s="29"/>
      <c r="H5" s="32"/>
      <c r="I5" s="29" t="s">
        <v>26</v>
      </c>
      <c r="J5" s="31">
        <f>(B5+B9+B13)/3</f>
        <v>6.7666666666666666</v>
      </c>
      <c r="K5" s="29"/>
    </row>
    <row r="6" spans="1:11">
      <c r="A6" s="29" t="s">
        <v>28</v>
      </c>
      <c r="B6" s="29">
        <v>6.5</v>
      </c>
      <c r="C6" s="29">
        <f>J6/B16</f>
        <v>1.1809523809523812</v>
      </c>
      <c r="D6" s="29">
        <f t="shared" si="0"/>
        <v>5.5040322580645151</v>
      </c>
      <c r="E6" s="29"/>
      <c r="F6" s="29"/>
      <c r="G6" s="29"/>
      <c r="H6" s="32"/>
      <c r="I6" s="29" t="s">
        <v>28</v>
      </c>
      <c r="J6" s="31">
        <f>(B6+B10+B14)/3</f>
        <v>7.2333333333333334</v>
      </c>
      <c r="K6" s="29"/>
    </row>
    <row r="7" spans="1:11">
      <c r="A7" s="29" t="s">
        <v>22</v>
      </c>
      <c r="B7" s="29">
        <v>5.8</v>
      </c>
      <c r="C7" s="29">
        <f>J3/B16</f>
        <v>0.90340136054421794</v>
      </c>
      <c r="D7" s="29">
        <f t="shared" si="0"/>
        <v>6.4201807228915646</v>
      </c>
      <c r="E7" s="29"/>
      <c r="F7" s="29"/>
      <c r="G7" s="29"/>
      <c r="H7" s="29"/>
      <c r="I7" s="29"/>
      <c r="J7" s="29"/>
      <c r="K7" s="29"/>
    </row>
    <row r="8" spans="1:11">
      <c r="A8" s="29" t="s">
        <v>24</v>
      </c>
      <c r="B8" s="29">
        <v>5.2</v>
      </c>
      <c r="C8" s="29">
        <f>J4/B16</f>
        <v>0.8108843537414967</v>
      </c>
      <c r="D8" s="29">
        <f t="shared" si="0"/>
        <v>6.4127516778523486</v>
      </c>
      <c r="E8" s="29"/>
      <c r="F8" s="29"/>
      <c r="G8" s="29"/>
      <c r="H8" s="29"/>
      <c r="I8" s="29"/>
      <c r="J8" s="29"/>
      <c r="K8" s="29"/>
    </row>
    <row r="9" spans="1:11">
      <c r="A9" s="29" t="s">
        <v>26</v>
      </c>
      <c r="B9" s="29">
        <v>6.8</v>
      </c>
      <c r="C9" s="29">
        <f>J5/B16</f>
        <v>1.1047619047619048</v>
      </c>
      <c r="D9" s="29">
        <f t="shared" si="0"/>
        <v>6.1551724137931032</v>
      </c>
      <c r="E9" s="29"/>
      <c r="F9" s="29"/>
      <c r="G9" s="29"/>
      <c r="H9" s="29"/>
      <c r="I9" s="32" t="s">
        <v>43</v>
      </c>
      <c r="J9" s="29" t="s">
        <v>22</v>
      </c>
      <c r="K9" s="29">
        <f>J3/B16</f>
        <v>0.90340136054421794</v>
      </c>
    </row>
    <row r="10" spans="1:11">
      <c r="A10" s="29" t="s">
        <v>28</v>
      </c>
      <c r="B10" s="29">
        <v>7.4</v>
      </c>
      <c r="C10" s="29">
        <f>J6/B16</f>
        <v>1.1809523809523812</v>
      </c>
      <c r="D10" s="29">
        <f t="shared" si="0"/>
        <v>6.2661290322580632</v>
      </c>
      <c r="E10" s="29"/>
      <c r="F10" s="29"/>
      <c r="G10" s="29"/>
      <c r="H10" s="29"/>
      <c r="I10" s="32"/>
      <c r="J10" s="29" t="s">
        <v>24</v>
      </c>
      <c r="K10" s="29">
        <f>J4/B16</f>
        <v>0.8108843537414967</v>
      </c>
    </row>
    <row r="11" spans="1:11">
      <c r="A11" s="29" t="s">
        <v>22</v>
      </c>
      <c r="B11" s="29">
        <v>6</v>
      </c>
      <c r="C11" s="29">
        <f>J3/B16</f>
        <v>0.90340136054421794</v>
      </c>
      <c r="D11" s="29">
        <f t="shared" si="0"/>
        <v>6.6415662650602387</v>
      </c>
      <c r="E11" s="29"/>
      <c r="F11" s="29"/>
      <c r="G11" s="29"/>
      <c r="H11" s="29"/>
      <c r="I11" s="32"/>
      <c r="J11" s="29" t="s">
        <v>26</v>
      </c>
      <c r="K11" s="29">
        <f>J5/B16</f>
        <v>1.1047619047619048</v>
      </c>
    </row>
    <row r="12" spans="1:11">
      <c r="A12" s="29" t="s">
        <v>24</v>
      </c>
      <c r="B12" s="29">
        <v>5.6</v>
      </c>
      <c r="C12" s="29">
        <f>J4/B16</f>
        <v>0.8108843537414967</v>
      </c>
      <c r="D12" s="29">
        <f t="shared" si="0"/>
        <v>6.9060402684563744</v>
      </c>
      <c r="E12" s="29"/>
      <c r="F12" s="29"/>
      <c r="G12" s="29"/>
      <c r="H12" s="29"/>
      <c r="I12" s="32"/>
      <c r="J12" s="29" t="s">
        <v>28</v>
      </c>
      <c r="K12" s="29">
        <f>J6/B16</f>
        <v>1.1809523809523812</v>
      </c>
    </row>
    <row r="13" spans="1:11">
      <c r="A13" s="29" t="s">
        <v>26</v>
      </c>
      <c r="B13" s="29">
        <v>7.5</v>
      </c>
      <c r="C13" s="29">
        <f>J5/B16</f>
        <v>1.1047619047619048</v>
      </c>
      <c r="D13" s="29">
        <f t="shared" si="0"/>
        <v>6.7887931034482758</v>
      </c>
      <c r="E13" s="29"/>
      <c r="F13" s="29"/>
      <c r="G13" s="29"/>
      <c r="H13" s="29"/>
      <c r="I13" s="29"/>
      <c r="J13" s="29"/>
      <c r="K13" s="29"/>
    </row>
    <row r="14" spans="1:11">
      <c r="A14" s="29" t="s">
        <v>28</v>
      </c>
      <c r="B14" s="29">
        <v>7.8</v>
      </c>
      <c r="C14" s="29">
        <f>J6/B16</f>
        <v>1.1809523809523812</v>
      </c>
      <c r="D14" s="29">
        <f t="shared" si="0"/>
        <v>6.6048387096774182</v>
      </c>
      <c r="E14" s="29"/>
      <c r="F14" s="29"/>
      <c r="G14" s="29"/>
      <c r="H14" s="29"/>
      <c r="I14" s="29"/>
      <c r="J14" s="29"/>
      <c r="K14" s="29"/>
    </row>
    <row r="15" spans="1:1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</row>
    <row r="16" spans="1:11">
      <c r="A16" s="29"/>
      <c r="B16" s="29">
        <f>AVERAGE(B3:B14)</f>
        <v>6.1249999999999991</v>
      </c>
      <c r="C16" s="29"/>
      <c r="D16" s="29"/>
      <c r="E16" s="29"/>
      <c r="F16" s="29"/>
      <c r="G16" s="29"/>
      <c r="H16" s="29"/>
      <c r="I16" s="29"/>
      <c r="J16" s="29"/>
      <c r="K16" s="29"/>
    </row>
  </sheetData>
  <mergeCells count="3">
    <mergeCell ref="H3:H6"/>
    <mergeCell ref="I9:I12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Moving Average</vt:lpstr>
      <vt:lpstr>Sheet1</vt:lpstr>
      <vt:lpstr>03-09</vt:lpstr>
      <vt:lpstr>04-09</vt:lpstr>
      <vt:lpstr>07-09</vt:lpstr>
      <vt:lpstr>09-09</vt:lpstr>
      <vt:lpstr>10-09</vt:lpstr>
      <vt:lpstr>11-09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2026-09-12T12:44:47Z</dcterms:modified>
</cp:coreProperties>
</file>