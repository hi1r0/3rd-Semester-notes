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SQF\Semester III\Time Series\"/>
    </mc:Choice>
  </mc:AlternateContent>
  <xr:revisionPtr revIDLastSave="0" documentId="13_ncr:1_{E2D0A49B-0B0F-4FD4-9184-3C94FFA229C7}" xr6:coauthVersionLast="47" xr6:coauthVersionMax="47" xr10:uidLastSave="{00000000-0000-0000-0000-000000000000}"/>
  <bookViews>
    <workbookView xWindow="-120" yWindow="-120" windowWidth="29040" windowHeight="16440" activeTab="11" xr2:uid="{00000000-000D-0000-FFFF-FFFF00000000}"/>
  </bookViews>
  <sheets>
    <sheet name="Moving Average" sheetId="1" r:id="rId1"/>
    <sheet name="Sheet1" sheetId="2" r:id="rId2"/>
    <sheet name="03-09" sheetId="3" r:id="rId3"/>
    <sheet name="04-09" sheetId="4" r:id="rId4"/>
    <sheet name="07-09" sheetId="5" r:id="rId5"/>
    <sheet name="09-09" sheetId="7" r:id="rId6"/>
    <sheet name="10-09" sheetId="8" r:id="rId7"/>
    <sheet name="11-09" sheetId="9" r:id="rId8"/>
    <sheet name="17-09" sheetId="10" r:id="rId9"/>
    <sheet name="21-09" sheetId="11" r:id="rId10"/>
    <sheet name="22-09" sheetId="12" r:id="rId11"/>
    <sheet name="08-10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3" l="1"/>
  <c r="D7" i="13"/>
  <c r="D8" i="13"/>
  <c r="D9" i="13"/>
  <c r="D5" i="13"/>
  <c r="C5" i="13"/>
  <c r="C6" i="13"/>
  <c r="C7" i="13"/>
  <c r="C8" i="13"/>
  <c r="C9" i="13"/>
  <c r="C4" i="13"/>
  <c r="B4" i="13"/>
  <c r="B5" i="13"/>
  <c r="B6" i="13"/>
  <c r="B7" i="13"/>
  <c r="B8" i="13"/>
  <c r="B9" i="13"/>
  <c r="B3" i="13"/>
  <c r="B9" i="12"/>
  <c r="B8" i="12"/>
  <c r="C7" i="12"/>
  <c r="B7" i="12"/>
  <c r="H6" i="12"/>
  <c r="G6" i="12"/>
  <c r="F6" i="12"/>
  <c r="E6" i="12"/>
  <c r="D6" i="12"/>
  <c r="H5" i="12"/>
  <c r="F5" i="12"/>
  <c r="E5" i="12"/>
  <c r="D5" i="12"/>
  <c r="H4" i="12"/>
  <c r="G4" i="12"/>
  <c r="F4" i="12"/>
  <c r="E4" i="12"/>
  <c r="D4" i="12"/>
  <c r="H3" i="12"/>
  <c r="F3" i="12"/>
  <c r="E3" i="12"/>
  <c r="D3" i="12"/>
  <c r="I2" i="12"/>
  <c r="H2" i="12"/>
  <c r="H7" i="12" s="1"/>
  <c r="F2" i="12"/>
  <c r="E2" i="12"/>
  <c r="E7" i="12" s="1"/>
  <c r="D2" i="12"/>
  <c r="D7" i="12" s="1"/>
  <c r="D17" i="11"/>
  <c r="C17" i="11"/>
  <c r="B17" i="11"/>
  <c r="E18" i="11"/>
  <c r="E17" i="11"/>
  <c r="D18" i="11"/>
  <c r="C18" i="11"/>
  <c r="B18" i="11"/>
  <c r="B13" i="11"/>
  <c r="B11" i="11"/>
  <c r="B10" i="11"/>
  <c r="B9" i="11"/>
  <c r="B8" i="11"/>
  <c r="B6" i="11"/>
  <c r="C4" i="11"/>
  <c r="D4" i="11"/>
  <c r="E4" i="11"/>
  <c r="B4" i="11"/>
  <c r="K11" i="11"/>
  <c r="K10" i="11"/>
  <c r="K9" i="11"/>
  <c r="K8" i="11"/>
  <c r="K7" i="11"/>
  <c r="K6" i="11"/>
  <c r="K5" i="11"/>
  <c r="J11" i="11"/>
  <c r="J10" i="11"/>
  <c r="J9" i="11"/>
  <c r="J8" i="11"/>
  <c r="J7" i="11"/>
  <c r="J6" i="11"/>
  <c r="J5" i="11"/>
  <c r="K4" i="11"/>
  <c r="J4" i="11"/>
  <c r="I5" i="11"/>
  <c r="I6" i="11" s="1"/>
  <c r="I7" i="11" s="1"/>
  <c r="I8" i="11" s="1"/>
  <c r="I9" i="11" s="1"/>
  <c r="I10" i="11" s="1"/>
  <c r="I11" i="11" s="1"/>
  <c r="I4" i="11"/>
  <c r="K3" i="11"/>
  <c r="J3" i="11"/>
  <c r="I3" i="11"/>
  <c r="I5" i="8"/>
  <c r="I4" i="8"/>
  <c r="I3" i="8"/>
  <c r="B16" i="9"/>
  <c r="C3" i="9" s="1"/>
  <c r="D3" i="9" s="1"/>
  <c r="J6" i="9"/>
  <c r="J5" i="9"/>
  <c r="J4" i="9"/>
  <c r="J3" i="9"/>
  <c r="D32" i="8"/>
  <c r="D33" i="8"/>
  <c r="D34" i="8"/>
  <c r="D31" i="8"/>
  <c r="C32" i="8"/>
  <c r="C31" i="8"/>
  <c r="B32" i="8"/>
  <c r="B33" i="8"/>
  <c r="C33" i="8" s="1"/>
  <c r="B34" i="8" s="1"/>
  <c r="C34" i="8" s="1"/>
  <c r="B31" i="8"/>
  <c r="C30" i="8"/>
  <c r="B30" i="8"/>
  <c r="D24" i="8"/>
  <c r="D25" i="8"/>
  <c r="D26" i="8"/>
  <c r="C25" i="8"/>
  <c r="C26" i="8"/>
  <c r="C24" i="8"/>
  <c r="B25" i="8"/>
  <c r="B26" i="8"/>
  <c r="B24" i="8"/>
  <c r="D23" i="8"/>
  <c r="C23" i="8"/>
  <c r="B23" i="8"/>
  <c r="E16" i="8"/>
  <c r="E17" i="8"/>
  <c r="E18" i="8"/>
  <c r="E15" i="8"/>
  <c r="D16" i="8"/>
  <c r="D17" i="8"/>
  <c r="D18" i="8"/>
  <c r="D15" i="8"/>
  <c r="B16" i="8"/>
  <c r="B17" i="8"/>
  <c r="B18" i="8"/>
  <c r="C16" i="8"/>
  <c r="C17" i="8"/>
  <c r="C18" i="8"/>
  <c r="C15" i="8"/>
  <c r="B15" i="8"/>
  <c r="I7" i="8"/>
  <c r="C7" i="8"/>
  <c r="D7" i="8"/>
  <c r="E7" i="8"/>
  <c r="B7" i="8"/>
  <c r="F2" i="7"/>
  <c r="E2" i="7"/>
  <c r="D2" i="7"/>
  <c r="D3" i="7" s="1"/>
  <c r="D15" i="5"/>
  <c r="E15" i="5"/>
  <c r="F15" i="5"/>
  <c r="D16" i="5"/>
  <c r="E16" i="5" s="1"/>
  <c r="D3" i="5"/>
  <c r="E3" i="5" s="1"/>
  <c r="D2" i="5"/>
  <c r="H29" i="4"/>
  <c r="H28" i="4"/>
  <c r="H27" i="4"/>
  <c r="H26" i="4"/>
  <c r="H25" i="4"/>
  <c r="E24" i="4"/>
  <c r="E25" i="4"/>
  <c r="E26" i="4"/>
  <c r="E27" i="4"/>
  <c r="E28" i="4"/>
  <c r="E29" i="4"/>
  <c r="E30" i="4"/>
  <c r="E31" i="4"/>
  <c r="E32" i="4"/>
  <c r="E33" i="4"/>
  <c r="E34" i="4"/>
  <c r="E23" i="4"/>
  <c r="D24" i="4"/>
  <c r="D25" i="4"/>
  <c r="D26" i="4"/>
  <c r="D27" i="4"/>
  <c r="D28" i="4"/>
  <c r="D29" i="4"/>
  <c r="D30" i="4"/>
  <c r="D31" i="4"/>
  <c r="D32" i="4"/>
  <c r="D33" i="4"/>
  <c r="D34" i="4"/>
  <c r="D23" i="4"/>
  <c r="B1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2" i="4"/>
  <c r="C25" i="4"/>
  <c r="C26" i="4"/>
  <c r="C27" i="4"/>
  <c r="C28" i="4"/>
  <c r="C29" i="4"/>
  <c r="C30" i="4"/>
  <c r="C31" i="4"/>
  <c r="C32" i="4"/>
  <c r="C33" i="4"/>
  <c r="C34" i="4"/>
  <c r="C35" i="4"/>
  <c r="C36" i="4"/>
  <c r="C24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2" i="4"/>
  <c r="F14" i="3"/>
  <c r="F8" i="3"/>
  <c r="F9" i="3" s="1"/>
  <c r="F10" i="3" s="1"/>
  <c r="F11" i="3" s="1"/>
  <c r="F12" i="3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6" i="2"/>
  <c r="G5" i="2"/>
  <c r="F6" i="2"/>
  <c r="F5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E6" i="2"/>
  <c r="E5" i="2"/>
  <c r="E7" i="2"/>
  <c r="E8" i="2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C13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D4" i="1"/>
  <c r="C4" i="1"/>
  <c r="C3" i="1"/>
  <c r="I6" i="12" l="1"/>
  <c r="J6" i="12"/>
  <c r="K6" i="12"/>
  <c r="J5" i="12"/>
  <c r="K5" i="12"/>
  <c r="G5" i="12"/>
  <c r="I5" i="12"/>
  <c r="I4" i="12"/>
  <c r="J4" i="12"/>
  <c r="K4" i="12"/>
  <c r="G3" i="12"/>
  <c r="K3" i="12"/>
  <c r="J3" i="12"/>
  <c r="I3" i="12"/>
  <c r="I7" i="12" s="1"/>
  <c r="K2" i="12"/>
  <c r="K7" i="12" s="1"/>
  <c r="G2" i="12"/>
  <c r="G7" i="12" s="1"/>
  <c r="G10" i="12" s="1"/>
  <c r="J2" i="12"/>
  <c r="J7" i="12" s="1"/>
  <c r="B10" i="12"/>
  <c r="B11" i="12" s="1"/>
  <c r="C14" i="9"/>
  <c r="D14" i="9" s="1"/>
  <c r="K12" i="9"/>
  <c r="C10" i="9"/>
  <c r="D10" i="9" s="1"/>
  <c r="C6" i="9"/>
  <c r="D6" i="9" s="1"/>
  <c r="C13" i="9"/>
  <c r="D13" i="9" s="1"/>
  <c r="K11" i="9"/>
  <c r="C9" i="9"/>
  <c r="D9" i="9" s="1"/>
  <c r="C5" i="9"/>
  <c r="D5" i="9" s="1"/>
  <c r="C12" i="9"/>
  <c r="D12" i="9" s="1"/>
  <c r="K10" i="9"/>
  <c r="C8" i="9"/>
  <c r="D8" i="9" s="1"/>
  <c r="C4" i="9"/>
  <c r="D4" i="9" s="1"/>
  <c r="C11" i="9"/>
  <c r="D11" i="9" s="1"/>
  <c r="K9" i="9"/>
  <c r="C7" i="9"/>
  <c r="D7" i="9" s="1"/>
  <c r="B9" i="8"/>
  <c r="E3" i="7"/>
  <c r="D4" i="7" s="1"/>
  <c r="E4" i="7" s="1"/>
  <c r="F3" i="7"/>
  <c r="D17" i="5"/>
  <c r="F16" i="5"/>
  <c r="A14" i="12" l="1"/>
  <c r="A15" i="12"/>
  <c r="I6" i="8"/>
  <c r="F4" i="7"/>
  <c r="D5" i="7"/>
  <c r="E5" i="7" s="1"/>
  <c r="E17" i="5"/>
  <c r="D18" i="5" s="1"/>
  <c r="F17" i="5"/>
  <c r="E18" i="5" l="1"/>
  <c r="F18" i="5" s="1"/>
  <c r="D19" i="5"/>
  <c r="D6" i="7" l="1"/>
  <c r="E6" i="7" s="1"/>
  <c r="F5" i="7"/>
  <c r="D20" i="5"/>
  <c r="F19" i="5"/>
  <c r="E19" i="5"/>
  <c r="E20" i="5" l="1"/>
  <c r="F6" i="7" l="1"/>
  <c r="D7" i="7"/>
  <c r="E7" i="7" s="1"/>
  <c r="D21" i="5"/>
  <c r="F20" i="5"/>
  <c r="E21" i="5" l="1"/>
  <c r="D8" i="7" l="1"/>
  <c r="E8" i="7" s="1"/>
  <c r="F7" i="7"/>
  <c r="F21" i="5"/>
  <c r="D22" i="5"/>
  <c r="E22" i="5" l="1"/>
  <c r="F8" i="7" l="1"/>
  <c r="D9" i="7"/>
  <c r="E9" i="7" s="1"/>
  <c r="D23" i="5"/>
  <c r="F22" i="5"/>
  <c r="F9" i="7" l="1"/>
  <c r="D10" i="7"/>
  <c r="E10" i="7" s="1"/>
  <c r="E23" i="5"/>
  <c r="F23" i="5" l="1"/>
  <c r="D24" i="5"/>
  <c r="D11" i="7" l="1"/>
  <c r="E11" i="7" s="1"/>
  <c r="F10" i="7"/>
  <c r="F24" i="5"/>
  <c r="E24" i="5"/>
  <c r="F11" i="7" l="1"/>
  <c r="F12" i="7" l="1"/>
</calcChain>
</file>

<file path=xl/sharedStrings.xml><?xml version="1.0" encoding="utf-8"?>
<sst xmlns="http://schemas.openxmlformats.org/spreadsheetml/2006/main" count="231" uniqueCount="107">
  <si>
    <t>Year</t>
  </si>
  <si>
    <t>Original Value</t>
  </si>
  <si>
    <t>3-Year MA</t>
  </si>
  <si>
    <t>5-Year MA</t>
  </si>
  <si>
    <t>7-Year MA</t>
  </si>
  <si>
    <t xml:space="preserve">Time </t>
  </si>
  <si>
    <t>Sales</t>
  </si>
  <si>
    <t>t</t>
  </si>
  <si>
    <t>ft</t>
  </si>
  <si>
    <t>ft+1(0.05)</t>
  </si>
  <si>
    <t>ft+1(0.2)</t>
  </si>
  <si>
    <t>ft+1(0.5)</t>
  </si>
  <si>
    <t>Day</t>
  </si>
  <si>
    <t>Mon</t>
  </si>
  <si>
    <t>Tue</t>
  </si>
  <si>
    <t>Wed</t>
  </si>
  <si>
    <t>Thu</t>
  </si>
  <si>
    <t>Fri</t>
  </si>
  <si>
    <t>compute 3 days moving average</t>
  </si>
  <si>
    <t>plot the series and the moving average on the graph</t>
  </si>
  <si>
    <t>does there appear to be a seasonal (weekly pattern)</t>
  </si>
  <si>
    <t>single exponential smoothing method with alpha = 0.2</t>
  </si>
  <si>
    <t>Q1</t>
  </si>
  <si>
    <t>Jan</t>
  </si>
  <si>
    <t>Q2</t>
  </si>
  <si>
    <t>Feb</t>
  </si>
  <si>
    <t>Q3</t>
  </si>
  <si>
    <t>Mar</t>
  </si>
  <si>
    <t>Q4</t>
  </si>
  <si>
    <t>Apr</t>
  </si>
  <si>
    <t>May</t>
  </si>
  <si>
    <t>Jun</t>
  </si>
  <si>
    <t>?</t>
  </si>
  <si>
    <t>f1</t>
  </si>
  <si>
    <t>f2</t>
  </si>
  <si>
    <t>f3</t>
  </si>
  <si>
    <t>f4</t>
  </si>
  <si>
    <t>f5</t>
  </si>
  <si>
    <t>F(jun)</t>
  </si>
  <si>
    <t>Quarter</t>
  </si>
  <si>
    <t>Y</t>
  </si>
  <si>
    <t>ycap</t>
  </si>
  <si>
    <t>y/ycap</t>
  </si>
  <si>
    <t>SI</t>
  </si>
  <si>
    <t>ycap * SI</t>
  </si>
  <si>
    <t>4MA</t>
  </si>
  <si>
    <t>-</t>
  </si>
  <si>
    <t>CMA</t>
  </si>
  <si>
    <t>SUM</t>
  </si>
  <si>
    <t>Time</t>
  </si>
  <si>
    <t>Smoothed (alpha = 0.8)</t>
  </si>
  <si>
    <t>Trend (beta = 0.4)</t>
  </si>
  <si>
    <t>Row</t>
  </si>
  <si>
    <t>Forecast</t>
  </si>
  <si>
    <t>Trend (beta = 0.5)</t>
  </si>
  <si>
    <t>Smoothed (alpha = 0.5)</t>
  </si>
  <si>
    <t>AVERAGE</t>
  </si>
  <si>
    <t xml:space="preserve">Total average = </t>
  </si>
  <si>
    <t>SEASONAL INDEX</t>
  </si>
  <si>
    <t>TOTAL</t>
  </si>
  <si>
    <t>DESEASONALIZED DATA</t>
  </si>
  <si>
    <t>At</t>
  </si>
  <si>
    <t>Ft (alpha = 0.5)</t>
  </si>
  <si>
    <t>Ft (alpha = 1)</t>
  </si>
  <si>
    <t>Ft (alpha = 0)</t>
  </si>
  <si>
    <t>EXPONENTIAL SMOOTHING METHOD (SINGLE)</t>
  </si>
  <si>
    <t>EXPONENTIAL SMOOTHING METHOD (DOUBLE)</t>
  </si>
  <si>
    <t>Lt</t>
  </si>
  <si>
    <t>Tt</t>
  </si>
  <si>
    <t>Ft</t>
  </si>
  <si>
    <t>QUARTER</t>
  </si>
  <si>
    <t>DSI</t>
  </si>
  <si>
    <t>Qn AVG</t>
  </si>
  <si>
    <t>RATIO-TO-MOVING-AVERAGE METHOD</t>
  </si>
  <si>
    <t>Y1</t>
  </si>
  <si>
    <t>Y2</t>
  </si>
  <si>
    <t>Additive model</t>
  </si>
  <si>
    <t>HW</t>
  </si>
  <si>
    <t>H Method</t>
  </si>
  <si>
    <t>sales</t>
  </si>
  <si>
    <t>St</t>
  </si>
  <si>
    <t>Average</t>
  </si>
  <si>
    <t>overall avg</t>
  </si>
  <si>
    <t>SIQ1</t>
  </si>
  <si>
    <t>SIQ2</t>
  </si>
  <si>
    <t>SIQ3</t>
  </si>
  <si>
    <t>SIQ4</t>
  </si>
  <si>
    <t>TOTAL SI</t>
  </si>
  <si>
    <t>DESEASONALISED DATA</t>
  </si>
  <si>
    <t>x</t>
  </si>
  <si>
    <t>y</t>
  </si>
  <si>
    <t>xy</t>
  </si>
  <si>
    <t>x^2</t>
  </si>
  <si>
    <t>ycapt</t>
  </si>
  <si>
    <t>(yt-ytcap)^2</t>
  </si>
  <si>
    <t>(yt-ytbar)^2</t>
  </si>
  <si>
    <t>MAPE</t>
  </si>
  <si>
    <t>MAD</t>
  </si>
  <si>
    <t>MSD</t>
  </si>
  <si>
    <t>n</t>
  </si>
  <si>
    <t>Yt bar</t>
  </si>
  <si>
    <t>b</t>
  </si>
  <si>
    <t xml:space="preserve">R^2 = </t>
  </si>
  <si>
    <t>a</t>
  </si>
  <si>
    <t>for year 2026 (x = 6)</t>
  </si>
  <si>
    <t>yt</t>
  </si>
  <si>
    <t>yt-yt-1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</si>
</sst>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  <font>
      <sz val="10"/>
      <name val="Arial Unicode MS"/>
    </font>
    <font>
      <sz val="11"/>
      <name val="Consolas"/>
      <family val="3"/>
    </font>
    <font>
      <b/>
      <sz val="11"/>
      <name val="Consolas"/>
      <family val="3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2" fontId="0" fillId="0" borderId="9" xfId="0" applyNumberFormat="1" applyBorder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2" fontId="0" fillId="0" borderId="0" xfId="0" applyNumberFormat="1"/>
    <xf numFmtId="2" fontId="2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4" fillId="0" borderId="0" xfId="0" applyNumberFormat="1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2" fontId="0" fillId="0" borderId="0" xfId="0" applyNumberFormat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6" fontId="6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/>
    <xf numFmtId="0" fontId="5" fillId="0" borderId="9" xfId="0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Sheet1!$D$5:$D$19</c:f>
              <c:numCache>
                <c:formatCode>General</c:formatCode>
                <c:ptCount val="15"/>
                <c:pt idx="0">
                  <c:v>20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18</c:v>
                </c:pt>
                <c:pt idx="5">
                  <c:v>21</c:v>
                </c:pt>
                <c:pt idx="6">
                  <c:v>26</c:v>
                </c:pt>
                <c:pt idx="7">
                  <c:v>19</c:v>
                </c:pt>
                <c:pt idx="8">
                  <c:v>16</c:v>
                </c:pt>
                <c:pt idx="9">
                  <c:v>28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23</c:v>
                </c:pt>
                <c:pt idx="1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3-4FFF-BF29-C418CDF2F141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ft+1(0.05)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Sheet1!$E$5:$E$19</c:f>
              <c:numCache>
                <c:formatCode>0.00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27.35</c:v>
                </c:pt>
                <c:pt idx="3">
                  <c:v>24.8825</c:v>
                </c:pt>
                <c:pt idx="4">
                  <c:v>21.855875000000001</c:v>
                </c:pt>
                <c:pt idx="5">
                  <c:v>17.80720625</c:v>
                </c:pt>
                <c:pt idx="6">
                  <c:v>21.1596396875</c:v>
                </c:pt>
                <c:pt idx="7">
                  <c:v>26.242018015625</c:v>
                </c:pt>
                <c:pt idx="8">
                  <c:v>18.63789909921875</c:v>
                </c:pt>
                <c:pt idx="9">
                  <c:v>15.868105045039062</c:v>
                </c:pt>
                <c:pt idx="10">
                  <c:v>28.606594747748048</c:v>
                </c:pt>
                <c:pt idx="11">
                  <c:v>24.819670262612597</c:v>
                </c:pt>
                <c:pt idx="12">
                  <c:v>26.059016486869371</c:v>
                </c:pt>
                <c:pt idx="13">
                  <c:v>27.047049175656532</c:v>
                </c:pt>
                <c:pt idx="14">
                  <c:v>22.797647541217174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3-4FFF-BF29-C418CDF2F141}"/>
            </c:ext>
          </c:extLst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ft+1(0.2)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Sheet1!$F$5:$F$19</c:f>
              <c:numCache>
                <c:formatCode>0.00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28.4</c:v>
                </c:pt>
                <c:pt idx="3">
                  <c:v>24.53</c:v>
                </c:pt>
                <c:pt idx="4">
                  <c:v>21.423500000000001</c:v>
                </c:pt>
                <c:pt idx="5">
                  <c:v>17.228825000000001</c:v>
                </c:pt>
                <c:pt idx="6">
                  <c:v>21.638558750000001</c:v>
                </c:pt>
                <c:pt idx="7">
                  <c:v>26.968072062499999</c:v>
                </c:pt>
                <c:pt idx="8">
                  <c:v>17.551596396874999</c:v>
                </c:pt>
                <c:pt idx="9">
                  <c:v>15.47242018015625</c:v>
                </c:pt>
                <c:pt idx="10">
                  <c:v>30.426378990992188</c:v>
                </c:pt>
                <c:pt idx="11">
                  <c:v>24.278681050450391</c:v>
                </c:pt>
                <c:pt idx="12">
                  <c:v>26.236065947477481</c:v>
                </c:pt>
                <c:pt idx="13">
                  <c:v>27.188196702626126</c:v>
                </c:pt>
                <c:pt idx="14">
                  <c:v>22.190590164868695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73-4FFF-BF29-C418CDF2F141}"/>
            </c:ext>
          </c:extLst>
        </c:ser>
        <c:ser>
          <c:idx val="3"/>
          <c:order val="3"/>
          <c:tx>
            <c:strRef>
              <c:f>Sheet1!$G$4</c:f>
              <c:strCache>
                <c:ptCount val="1"/>
                <c:pt idx="0">
                  <c:v>ft+1(0.5)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Sheet1!$G$5:$G$19</c:f>
              <c:numCache>
                <c:formatCode>0.00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30.5</c:v>
                </c:pt>
                <c:pt idx="3">
                  <c:v>23.824999999999999</c:v>
                </c:pt>
                <c:pt idx="4">
                  <c:v>20.55875</c:v>
                </c:pt>
                <c:pt idx="5">
                  <c:v>16.072062500000001</c:v>
                </c:pt>
                <c:pt idx="6">
                  <c:v>22.596396875</c:v>
                </c:pt>
                <c:pt idx="7">
                  <c:v>28.420180156249998</c:v>
                </c:pt>
                <c:pt idx="8">
                  <c:v>15.3789909921875</c:v>
                </c:pt>
                <c:pt idx="9">
                  <c:v>14.681050450390625</c:v>
                </c:pt>
                <c:pt idx="10">
                  <c:v>34.065947477480471</c:v>
                </c:pt>
                <c:pt idx="11">
                  <c:v>23.196702626125976</c:v>
                </c:pt>
                <c:pt idx="12">
                  <c:v>26.590164868693702</c:v>
                </c:pt>
                <c:pt idx="13">
                  <c:v>27.470491756565316</c:v>
                </c:pt>
                <c:pt idx="14">
                  <c:v>20.976475412171734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73-4FFF-BF29-C418CDF2F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974592"/>
        <c:axId val="464601488"/>
      </c:lineChart>
      <c:catAx>
        <c:axId val="45697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01488"/>
        <c:crosses val="autoZero"/>
        <c:auto val="1"/>
        <c:lblAlgn val="ctr"/>
        <c:lblOffset val="100"/>
        <c:noMultiLvlLbl val="0"/>
      </c:catAx>
      <c:valAx>
        <c:axId val="4646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7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414337</xdr:colOff>
      <xdr:row>13</xdr:row>
      <xdr:rowOff>4762</xdr:rowOff>
    </xdr:from>
    <xdr:to>
      <xdr:col>16</xdr:col>
      <xdr:colOff>185737</xdr:colOff>
      <xdr:row>28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9C49B7-CAD0-EFA9-D084-4340EA9CE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21</xdr:row>
      <xdr:rowOff>133350</xdr:rowOff>
    </xdr:from>
    <xdr:to>
      <xdr:col>9</xdr:col>
      <xdr:colOff>133624</xdr:colOff>
      <xdr:row>23</xdr:row>
      <xdr:rowOff>123874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21824-404E-507A-0D6F-AB9B84C4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3962400"/>
          <a:ext cx="1962424" cy="35247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28</xdr:row>
      <xdr:rowOff>28575</xdr:rowOff>
    </xdr:from>
    <xdr:to>
      <xdr:col>11</xdr:col>
      <xdr:colOff>391151</xdr:colOff>
      <xdr:row>40</xdr:row>
      <xdr:rowOff>124141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5643E-70C5-0ADE-27DE-17B353AE6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1050" y="5133975"/>
          <a:ext cx="4486901" cy="22672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0</xdr:row>
      <xdr:rowOff>0</xdr:rowOff>
    </xdr:from>
    <xdr:to>
      <xdr:col>15</xdr:col>
      <xdr:colOff>676956</xdr:colOff>
      <xdr:row>5</xdr:row>
      <xdr:rowOff>171600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EE525-EDBE-D0C7-E9B4-22518ABF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6475" y="0"/>
          <a:ext cx="4877481" cy="1076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4.25"/>
  <cols>
    <col min="1" max="1" width="10" customWidth="1"/>
    <col min="2" max="5" width="16" customWidth="1"/>
  </cols>
  <sheetData>
    <row r="1" spans="1:5" ht="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s="6">
        <v>80</v>
      </c>
      <c r="C2" s="8"/>
      <c r="D2" s="8"/>
      <c r="E2" s="9"/>
    </row>
    <row r="3" spans="1:5">
      <c r="A3" s="4">
        <v>2</v>
      </c>
      <c r="B3" s="6">
        <v>84</v>
      </c>
      <c r="C3" s="8">
        <f t="shared" ref="C3:C13" si="0">AVERAGE(B2:B4)</f>
        <v>81.333333333333329</v>
      </c>
      <c r="D3" s="8"/>
      <c r="E3" s="9"/>
    </row>
    <row r="4" spans="1:5">
      <c r="A4" s="4">
        <v>3</v>
      </c>
      <c r="B4" s="6">
        <v>80</v>
      </c>
      <c r="C4" s="8">
        <f t="shared" si="0"/>
        <v>84</v>
      </c>
      <c r="D4" s="8">
        <f t="shared" ref="D4:D12" si="1">AVERAGE(B2:B6)</f>
        <v>86</v>
      </c>
      <c r="E4" s="9"/>
    </row>
    <row r="5" spans="1:5">
      <c r="A5" s="4">
        <v>4</v>
      </c>
      <c r="B5" s="6">
        <v>88</v>
      </c>
      <c r="C5" s="8">
        <f t="shared" si="0"/>
        <v>88.666666666666671</v>
      </c>
      <c r="D5" s="8">
        <f t="shared" si="1"/>
        <v>88.4</v>
      </c>
      <c r="E5" s="9">
        <f t="shared" ref="E5:E11" si="2">AVERAGE(B2:B8)</f>
        <v>86.571428571428569</v>
      </c>
    </row>
    <row r="6" spans="1:5">
      <c r="A6" s="4">
        <v>5</v>
      </c>
      <c r="B6" s="6">
        <v>98</v>
      </c>
      <c r="C6" s="8">
        <f t="shared" si="0"/>
        <v>92.666666666666671</v>
      </c>
      <c r="D6" s="8">
        <f t="shared" si="1"/>
        <v>88.4</v>
      </c>
      <c r="E6" s="9">
        <f t="shared" si="2"/>
        <v>87.285714285714292</v>
      </c>
    </row>
    <row r="7" spans="1:5">
      <c r="A7" s="4">
        <v>6</v>
      </c>
      <c r="B7" s="6">
        <v>92</v>
      </c>
      <c r="C7" s="8">
        <f t="shared" si="0"/>
        <v>91.333333333333329</v>
      </c>
      <c r="D7" s="8">
        <f t="shared" si="1"/>
        <v>89.4</v>
      </c>
      <c r="E7" s="9">
        <f t="shared" si="2"/>
        <v>86.714285714285708</v>
      </c>
    </row>
    <row r="8" spans="1:5">
      <c r="A8" s="4">
        <v>7</v>
      </c>
      <c r="B8" s="6">
        <v>84</v>
      </c>
      <c r="C8" s="8">
        <f t="shared" si="0"/>
        <v>87</v>
      </c>
      <c r="D8" s="8">
        <f t="shared" si="1"/>
        <v>87.8</v>
      </c>
      <c r="E8" s="9">
        <f t="shared" si="2"/>
        <v>89.571428571428569</v>
      </c>
    </row>
    <row r="9" spans="1:5">
      <c r="A9" s="4">
        <v>8</v>
      </c>
      <c r="B9" s="6">
        <v>85</v>
      </c>
      <c r="C9" s="8">
        <f t="shared" si="0"/>
        <v>83</v>
      </c>
      <c r="D9" s="8">
        <f t="shared" si="1"/>
        <v>88.2</v>
      </c>
      <c r="E9" s="9">
        <f t="shared" si="2"/>
        <v>89</v>
      </c>
    </row>
    <row r="10" spans="1:5">
      <c r="A10" s="4">
        <v>9</v>
      </c>
      <c r="B10" s="6">
        <v>80</v>
      </c>
      <c r="C10" s="8">
        <f t="shared" si="0"/>
        <v>88.333333333333329</v>
      </c>
      <c r="D10" s="8">
        <f t="shared" si="1"/>
        <v>86.6</v>
      </c>
      <c r="E10" s="9">
        <f t="shared" si="2"/>
        <v>88.714285714285708</v>
      </c>
    </row>
    <row r="11" spans="1:5">
      <c r="A11" s="4">
        <v>10</v>
      </c>
      <c r="B11" s="6">
        <v>100</v>
      </c>
      <c r="C11" s="8">
        <f t="shared" si="0"/>
        <v>88</v>
      </c>
      <c r="D11" s="8">
        <f t="shared" si="1"/>
        <v>89</v>
      </c>
      <c r="E11" s="9">
        <f t="shared" si="2"/>
        <v>88.714285714285708</v>
      </c>
    </row>
    <row r="12" spans="1:5">
      <c r="A12" s="4">
        <v>11</v>
      </c>
      <c r="B12" s="6">
        <v>84</v>
      </c>
      <c r="C12" s="8">
        <f t="shared" si="0"/>
        <v>93.333333333333329</v>
      </c>
      <c r="D12" s="8">
        <f t="shared" si="1"/>
        <v>90.4</v>
      </c>
      <c r="E12" s="9"/>
    </row>
    <row r="13" spans="1:5">
      <c r="A13" s="4">
        <v>12</v>
      </c>
      <c r="B13" s="6">
        <v>96</v>
      </c>
      <c r="C13" s="8">
        <f t="shared" si="0"/>
        <v>90.666666666666671</v>
      </c>
      <c r="D13" s="8"/>
      <c r="E13" s="9"/>
    </row>
    <row r="14" spans="1:5">
      <c r="A14" s="5">
        <v>13</v>
      </c>
      <c r="B14" s="7">
        <v>92</v>
      </c>
      <c r="C14" s="10"/>
      <c r="D14" s="10"/>
      <c r="E1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010B-22A5-42D6-BCC8-2D4478E9E621}">
  <dimension ref="C1:Y26"/>
  <sheetViews>
    <sheetView topLeftCell="B1" zoomScale="82" zoomScaleNormal="160" workbookViewId="0">
      <selection activeCell="K4" sqref="K4"/>
    </sheetView>
  </sheetViews>
  <sheetFormatPr defaultRowHeight="14.25"/>
  <cols>
    <col min="5" max="5" width="9.375" bestFit="1" customWidth="1"/>
  </cols>
  <sheetData>
    <row r="1" spans="3:25" ht="15">
      <c r="S1" s="16" t="s">
        <v>12</v>
      </c>
      <c r="T1" s="16">
        <v>1</v>
      </c>
      <c r="U1" s="16">
        <v>2</v>
      </c>
      <c r="V1" s="16">
        <v>3</v>
      </c>
      <c r="W1" s="16">
        <v>4</v>
      </c>
    </row>
    <row r="2" spans="3:25">
      <c r="S2" t="s">
        <v>13</v>
      </c>
      <c r="T2">
        <v>43</v>
      </c>
      <c r="U2">
        <v>51</v>
      </c>
      <c r="V2">
        <v>40</v>
      </c>
      <c r="W2">
        <v>64</v>
      </c>
    </row>
    <row r="3" spans="3:25" ht="15">
      <c r="C3" s="12" t="s">
        <v>5</v>
      </c>
      <c r="D3" s="12" t="s">
        <v>6</v>
      </c>
      <c r="E3" s="14"/>
      <c r="F3" s="14"/>
      <c r="G3" s="14"/>
      <c r="S3" t="s">
        <v>14</v>
      </c>
      <c r="T3">
        <v>45</v>
      </c>
      <c r="U3">
        <v>41</v>
      </c>
      <c r="V3">
        <v>57</v>
      </c>
      <c r="W3">
        <v>58</v>
      </c>
    </row>
    <row r="4" spans="3:25" ht="15"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S4" t="s">
        <v>15</v>
      </c>
      <c r="T4">
        <v>22</v>
      </c>
      <c r="U4">
        <v>37</v>
      </c>
      <c r="V4">
        <v>30</v>
      </c>
      <c r="W4">
        <v>33</v>
      </c>
    </row>
    <row r="5" spans="3:25">
      <c r="C5" s="13">
        <v>1</v>
      </c>
      <c r="D5" s="13">
        <v>20</v>
      </c>
      <c r="E5" s="15">
        <f>(D5+0.05*(D5-D5))</f>
        <v>20</v>
      </c>
      <c r="F5" s="15">
        <f>(D5+0.2*(D5-D5))</f>
        <v>20</v>
      </c>
      <c r="G5" s="15">
        <f>(D5+0.5*(D5-D5))</f>
        <v>20</v>
      </c>
      <c r="S5" t="s">
        <v>16</v>
      </c>
      <c r="T5">
        <v>25</v>
      </c>
      <c r="U5">
        <v>22</v>
      </c>
      <c r="V5">
        <v>33</v>
      </c>
      <c r="W5">
        <v>35</v>
      </c>
    </row>
    <row r="6" spans="3:25">
      <c r="C6" s="13">
        <v>2</v>
      </c>
      <c r="D6" s="13">
        <v>27</v>
      </c>
      <c r="E6" s="15">
        <f>(D5+0.05*(D5-E5))</f>
        <v>20</v>
      </c>
      <c r="F6" s="15">
        <f>(D5+0.2*(D5-E5))</f>
        <v>20</v>
      </c>
      <c r="G6" s="15">
        <f>(D5+0.5*(D5-E5))</f>
        <v>20</v>
      </c>
      <c r="S6" t="s">
        <v>17</v>
      </c>
      <c r="T6">
        <v>31</v>
      </c>
      <c r="U6">
        <v>25</v>
      </c>
      <c r="V6">
        <v>37</v>
      </c>
      <c r="W6">
        <v>25</v>
      </c>
    </row>
    <row r="7" spans="3:25">
      <c r="C7" s="13">
        <v>3</v>
      </c>
      <c r="D7" s="13">
        <v>25</v>
      </c>
      <c r="E7" s="15">
        <f t="shared" ref="E7:E19" si="0">(D6+0.05*(D6-E6))</f>
        <v>27.35</v>
      </c>
      <c r="F7" s="15">
        <f t="shared" ref="F7:F19" si="1">(D6+0.2*(D6-E6))</f>
        <v>28.4</v>
      </c>
      <c r="G7" s="15">
        <f t="shared" ref="G7:G19" si="2">(D6+0.5*(D6-E6))</f>
        <v>30.5</v>
      </c>
    </row>
    <row r="8" spans="3:25">
      <c r="C8" s="13">
        <v>4</v>
      </c>
      <c r="D8" s="13">
        <v>22</v>
      </c>
      <c r="E8" s="15">
        <f t="shared" si="0"/>
        <v>24.8825</v>
      </c>
      <c r="F8" s="15">
        <f t="shared" si="1"/>
        <v>24.53</v>
      </c>
      <c r="G8" s="15">
        <f t="shared" si="2"/>
        <v>23.824999999999999</v>
      </c>
      <c r="S8" t="s">
        <v>18</v>
      </c>
    </row>
    <row r="9" spans="3:25">
      <c r="C9" s="13">
        <v>5</v>
      </c>
      <c r="D9" s="13">
        <v>18</v>
      </c>
      <c r="E9" s="15">
        <f t="shared" si="0"/>
        <v>21.855875000000001</v>
      </c>
      <c r="F9" s="15">
        <f t="shared" si="1"/>
        <v>21.423500000000001</v>
      </c>
      <c r="G9" s="15">
        <f t="shared" si="2"/>
        <v>20.55875</v>
      </c>
      <c r="S9" t="s">
        <v>19</v>
      </c>
    </row>
    <row r="10" spans="3:25">
      <c r="C10" s="13">
        <v>6</v>
      </c>
      <c r="D10" s="13">
        <v>21</v>
      </c>
      <c r="E10" s="15">
        <f t="shared" si="0"/>
        <v>17.80720625</v>
      </c>
      <c r="F10" s="15">
        <f t="shared" si="1"/>
        <v>17.228825000000001</v>
      </c>
      <c r="G10" s="15">
        <f t="shared" si="2"/>
        <v>16.072062500000001</v>
      </c>
      <c r="S10" t="s">
        <v>20</v>
      </c>
    </row>
    <row r="11" spans="3:25">
      <c r="C11" s="13">
        <v>7</v>
      </c>
      <c r="D11" s="13">
        <v>26</v>
      </c>
      <c r="E11" s="15">
        <f t="shared" si="0"/>
        <v>21.1596396875</v>
      </c>
      <c r="F11" s="15">
        <f t="shared" si="1"/>
        <v>21.638558750000001</v>
      </c>
      <c r="G11" s="15">
        <f t="shared" si="2"/>
        <v>22.596396875</v>
      </c>
      <c r="Y11">
        <v>39</v>
      </c>
    </row>
    <row r="12" spans="3:25">
      <c r="C12" s="13">
        <v>8</v>
      </c>
      <c r="D12" s="13">
        <v>19</v>
      </c>
      <c r="E12" s="15">
        <f t="shared" si="0"/>
        <v>26.242018015625</v>
      </c>
      <c r="F12" s="15">
        <f t="shared" si="1"/>
        <v>26.968072062499999</v>
      </c>
      <c r="G12" s="15">
        <f t="shared" si="2"/>
        <v>28.420180156249998</v>
      </c>
      <c r="Y12">
        <v>37</v>
      </c>
    </row>
    <row r="13" spans="3:25">
      <c r="C13" s="13">
        <v>9</v>
      </c>
      <c r="D13" s="13">
        <v>16</v>
      </c>
      <c r="E13" s="15">
        <f t="shared" si="0"/>
        <v>18.63789909921875</v>
      </c>
      <c r="F13" s="15">
        <f t="shared" si="1"/>
        <v>17.551596396874999</v>
      </c>
      <c r="G13" s="15">
        <f t="shared" si="2"/>
        <v>15.3789909921875</v>
      </c>
      <c r="Y13">
        <v>61</v>
      </c>
    </row>
    <row r="14" spans="3:25">
      <c r="C14" s="13">
        <v>10</v>
      </c>
      <c r="D14" s="13">
        <v>28</v>
      </c>
      <c r="E14" s="15">
        <f t="shared" si="0"/>
        <v>15.868105045039062</v>
      </c>
      <c r="F14" s="15">
        <f t="shared" si="1"/>
        <v>15.47242018015625</v>
      </c>
      <c r="G14" s="15">
        <f t="shared" si="2"/>
        <v>14.681050450390625</v>
      </c>
      <c r="Y14">
        <v>58</v>
      </c>
    </row>
    <row r="15" spans="3:25">
      <c r="C15" s="13">
        <v>11</v>
      </c>
      <c r="D15" s="13">
        <v>25</v>
      </c>
      <c r="E15" s="15">
        <f t="shared" si="0"/>
        <v>28.606594747748048</v>
      </c>
      <c r="F15" s="15">
        <f t="shared" si="1"/>
        <v>30.426378990992188</v>
      </c>
      <c r="G15" s="15">
        <f t="shared" si="2"/>
        <v>34.065947477480471</v>
      </c>
      <c r="Y15">
        <v>18</v>
      </c>
    </row>
    <row r="16" spans="3:25">
      <c r="C16" s="13">
        <v>12</v>
      </c>
      <c r="D16" s="13">
        <v>26</v>
      </c>
      <c r="E16" s="15">
        <f t="shared" si="0"/>
        <v>24.819670262612597</v>
      </c>
      <c r="F16" s="15">
        <f t="shared" si="1"/>
        <v>24.278681050450391</v>
      </c>
      <c r="G16" s="15">
        <f t="shared" si="2"/>
        <v>23.196702626125976</v>
      </c>
      <c r="Y16">
        <v>52</v>
      </c>
    </row>
    <row r="17" spans="3:25">
      <c r="C17" s="13">
        <v>13</v>
      </c>
      <c r="D17" s="13">
        <v>27</v>
      </c>
      <c r="E17" s="15">
        <f t="shared" si="0"/>
        <v>26.059016486869371</v>
      </c>
      <c r="F17" s="15">
        <f t="shared" si="1"/>
        <v>26.236065947477481</v>
      </c>
      <c r="G17" s="15">
        <f t="shared" si="2"/>
        <v>26.590164868693702</v>
      </c>
      <c r="Y17">
        <v>82</v>
      </c>
    </row>
    <row r="18" spans="3:25">
      <c r="C18" s="13">
        <v>14</v>
      </c>
      <c r="D18" s="13">
        <v>23</v>
      </c>
      <c r="E18" s="15">
        <f t="shared" si="0"/>
        <v>27.047049175656532</v>
      </c>
      <c r="F18" s="15">
        <f t="shared" si="1"/>
        <v>27.188196702626126</v>
      </c>
      <c r="G18" s="15">
        <f t="shared" si="2"/>
        <v>27.470491756565316</v>
      </c>
      <c r="Y18">
        <v>27</v>
      </c>
    </row>
    <row r="19" spans="3:25">
      <c r="C19" s="13">
        <v>15</v>
      </c>
      <c r="D19" s="13">
        <v>27</v>
      </c>
      <c r="E19" s="15">
        <f t="shared" si="0"/>
        <v>22.797647541217174</v>
      </c>
      <c r="F19" s="15">
        <f t="shared" si="1"/>
        <v>22.190590164868695</v>
      </c>
      <c r="G19" s="15">
        <f t="shared" si="2"/>
        <v>20.976475412171734</v>
      </c>
      <c r="Y19">
        <v>41</v>
      </c>
    </row>
    <row r="20" spans="3:25">
      <c r="Y20">
        <v>69</v>
      </c>
    </row>
    <row r="21" spans="3:25">
      <c r="Y21">
        <v>49</v>
      </c>
    </row>
    <row r="22" spans="3:25">
      <c r="Y22">
        <v>66</v>
      </c>
    </row>
    <row r="23" spans="3:25">
      <c r="Y23">
        <v>54</v>
      </c>
    </row>
    <row r="24" spans="3:25">
      <c r="Y24">
        <v>42</v>
      </c>
    </row>
    <row r="26" spans="3:25">
      <c r="Y26" t="s">
        <v>21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8D5A-DA39-4C0C-8291-83B50B9E249D}">
  <dimension ref="A1:F16"/>
  <sheetViews>
    <sheetView workbookViewId="0">
      <selection activeCell="F14" sqref="F14"/>
    </sheetView>
  </sheetViews>
  <sheetFormatPr defaultRowHeight="14.25"/>
  <sheetData>
    <row r="1" spans="1:6">
      <c r="A1">
        <v>2021</v>
      </c>
      <c r="B1" t="s">
        <v>22</v>
      </c>
      <c r="C1">
        <v>4.8</v>
      </c>
      <c r="E1" t="s">
        <v>23</v>
      </c>
      <c r="F1">
        <v>100</v>
      </c>
    </row>
    <row r="2" spans="1:6">
      <c r="B2" t="s">
        <v>24</v>
      </c>
      <c r="C2">
        <v>4.5999999999999996</v>
      </c>
      <c r="E2" t="s">
        <v>25</v>
      </c>
      <c r="F2">
        <v>120</v>
      </c>
    </row>
    <row r="3" spans="1:6">
      <c r="B3" t="s">
        <v>26</v>
      </c>
      <c r="C3">
        <v>6</v>
      </c>
      <c r="E3" t="s">
        <v>27</v>
      </c>
      <c r="F3">
        <v>130</v>
      </c>
    </row>
    <row r="4" spans="1:6">
      <c r="B4" t="s">
        <v>28</v>
      </c>
      <c r="C4">
        <v>6.5</v>
      </c>
      <c r="E4" t="s">
        <v>29</v>
      </c>
      <c r="F4">
        <v>125</v>
      </c>
    </row>
    <row r="5" spans="1:6">
      <c r="A5">
        <v>2022</v>
      </c>
      <c r="B5" t="s">
        <v>22</v>
      </c>
      <c r="C5">
        <v>5.8</v>
      </c>
      <c r="E5" t="s">
        <v>30</v>
      </c>
      <c r="F5">
        <v>140</v>
      </c>
    </row>
    <row r="6" spans="1:6">
      <c r="B6" t="s">
        <v>24</v>
      </c>
      <c r="C6">
        <v>5.2</v>
      </c>
      <c r="E6" t="s">
        <v>31</v>
      </c>
      <c r="F6" t="s">
        <v>32</v>
      </c>
    </row>
    <row r="7" spans="1:6">
      <c r="B7" t="s">
        <v>26</v>
      </c>
      <c r="C7">
        <v>6.8</v>
      </c>
    </row>
    <row r="8" spans="1:6">
      <c r="B8" t="s">
        <v>28</v>
      </c>
      <c r="C8">
        <v>7.4</v>
      </c>
      <c r="E8" t="s">
        <v>33</v>
      </c>
      <c r="F8">
        <f>F1</f>
        <v>100</v>
      </c>
    </row>
    <row r="9" spans="1:6">
      <c r="A9">
        <v>2023</v>
      </c>
      <c r="B9" t="s">
        <v>22</v>
      </c>
      <c r="C9">
        <v>6</v>
      </c>
      <c r="E9" t="s">
        <v>34</v>
      </c>
      <c r="F9">
        <f>F8+(0.2)*(F2-F8)</f>
        <v>104</v>
      </c>
    </row>
    <row r="10" spans="1:6">
      <c r="B10" t="s">
        <v>24</v>
      </c>
      <c r="C10">
        <v>5.6</v>
      </c>
      <c r="E10" t="s">
        <v>35</v>
      </c>
      <c r="F10">
        <f t="shared" ref="F10:F12" si="0">F9+(0.2)*(F3-F9)</f>
        <v>109.2</v>
      </c>
    </row>
    <row r="11" spans="1:6">
      <c r="B11" t="s">
        <v>26</v>
      </c>
      <c r="C11">
        <v>7.5</v>
      </c>
      <c r="E11" t="s">
        <v>36</v>
      </c>
      <c r="F11">
        <f t="shared" si="0"/>
        <v>112.36</v>
      </c>
    </row>
    <row r="12" spans="1:6">
      <c r="B12" t="s">
        <v>28</v>
      </c>
      <c r="C12">
        <v>7.8</v>
      </c>
      <c r="E12" t="s">
        <v>37</v>
      </c>
      <c r="F12">
        <f t="shared" si="0"/>
        <v>117.88800000000001</v>
      </c>
    </row>
    <row r="13" spans="1:6">
      <c r="A13">
        <v>2024</v>
      </c>
      <c r="B13" t="s">
        <v>22</v>
      </c>
      <c r="C13">
        <v>6.3</v>
      </c>
    </row>
    <row r="14" spans="1:6">
      <c r="B14" t="s">
        <v>24</v>
      </c>
      <c r="C14">
        <v>5.9</v>
      </c>
      <c r="E14" t="s">
        <v>38</v>
      </c>
      <c r="F14">
        <f>F12</f>
        <v>117.88800000000001</v>
      </c>
    </row>
    <row r="15" spans="1:6">
      <c r="B15" t="s">
        <v>26</v>
      </c>
      <c r="C15">
        <v>8</v>
      </c>
    </row>
    <row r="16" spans="1:6">
      <c r="B16" t="s">
        <v>28</v>
      </c>
      <c r="C16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81EA-92DF-4072-8552-F8FBD82D0469}">
  <dimension ref="A1:H36"/>
  <sheetViews>
    <sheetView workbookViewId="0">
      <selection activeCell="J28" sqref="J28"/>
    </sheetView>
  </sheetViews>
  <sheetFormatPr defaultRowHeight="14.25"/>
  <cols>
    <col min="8" max="8" width="12.625" bestFit="1" customWidth="1"/>
  </cols>
  <sheetData>
    <row r="1" spans="1:7">
      <c r="A1" t="s">
        <v>39</v>
      </c>
      <c r="B1" t="s">
        <v>40</v>
      </c>
      <c r="C1" t="s">
        <v>7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22</v>
      </c>
      <c r="B2">
        <v>4.8</v>
      </c>
      <c r="C2">
        <v>1</v>
      </c>
      <c r="D2">
        <f>4.85+0.1798*C2</f>
        <v>5.0297999999999998</v>
      </c>
      <c r="E2">
        <f>B2/D2</f>
        <v>0.95431229869974954</v>
      </c>
    </row>
    <row r="3" spans="1:7">
      <c r="A3" t="s">
        <v>24</v>
      </c>
      <c r="B3">
        <v>4.0999999999999996</v>
      </c>
      <c r="C3">
        <v>2</v>
      </c>
      <c r="D3">
        <f t="shared" ref="D3:D17" si="0">4.85+0.1798*C3</f>
        <v>5.2096</v>
      </c>
      <c r="E3">
        <f t="shared" ref="E3:E17" si="1">B3/D3</f>
        <v>0.78700859950859947</v>
      </c>
    </row>
    <row r="4" spans="1:7">
      <c r="A4" t="s">
        <v>26</v>
      </c>
      <c r="B4">
        <v>6</v>
      </c>
      <c r="C4">
        <v>3</v>
      </c>
      <c r="D4">
        <f t="shared" si="0"/>
        <v>5.3893999999999993</v>
      </c>
      <c r="E4">
        <f t="shared" si="1"/>
        <v>1.1132964708501876</v>
      </c>
    </row>
    <row r="5" spans="1:7">
      <c r="A5" t="s">
        <v>28</v>
      </c>
      <c r="B5">
        <v>6.5</v>
      </c>
      <c r="C5">
        <v>4</v>
      </c>
      <c r="D5">
        <f t="shared" si="0"/>
        <v>5.5691999999999995</v>
      </c>
      <c r="E5">
        <f t="shared" si="1"/>
        <v>1.1671335200746966</v>
      </c>
    </row>
    <row r="6" spans="1:7">
      <c r="A6" t="s">
        <v>22</v>
      </c>
      <c r="B6">
        <v>5.8</v>
      </c>
      <c r="C6">
        <v>5</v>
      </c>
      <c r="D6">
        <f t="shared" si="0"/>
        <v>5.7489999999999997</v>
      </c>
      <c r="E6">
        <f t="shared" si="1"/>
        <v>1.008871108018786</v>
      </c>
    </row>
    <row r="7" spans="1:7">
      <c r="A7" t="s">
        <v>24</v>
      </c>
      <c r="B7">
        <v>5.2</v>
      </c>
      <c r="C7">
        <v>6</v>
      </c>
      <c r="D7">
        <f t="shared" si="0"/>
        <v>5.9287999999999998</v>
      </c>
      <c r="E7">
        <f t="shared" si="1"/>
        <v>0.87707461880987725</v>
      </c>
    </row>
    <row r="8" spans="1:7">
      <c r="A8" t="s">
        <v>26</v>
      </c>
      <c r="B8">
        <v>6.8</v>
      </c>
      <c r="C8">
        <v>7</v>
      </c>
      <c r="D8">
        <f t="shared" si="0"/>
        <v>6.1085999999999991</v>
      </c>
      <c r="E8">
        <f t="shared" si="1"/>
        <v>1.113184690436434</v>
      </c>
    </row>
    <row r="9" spans="1:7">
      <c r="A9" t="s">
        <v>28</v>
      </c>
      <c r="B9">
        <v>7.4</v>
      </c>
      <c r="C9">
        <v>8</v>
      </c>
      <c r="D9">
        <f t="shared" si="0"/>
        <v>6.2883999999999993</v>
      </c>
      <c r="E9">
        <f t="shared" si="1"/>
        <v>1.1767699255772535</v>
      </c>
    </row>
    <row r="10" spans="1:7">
      <c r="A10" t="s">
        <v>22</v>
      </c>
      <c r="B10">
        <v>6</v>
      </c>
      <c r="C10">
        <v>9</v>
      </c>
      <c r="D10">
        <f t="shared" si="0"/>
        <v>6.4681999999999995</v>
      </c>
      <c r="E10">
        <f t="shared" si="1"/>
        <v>0.92761510157385374</v>
      </c>
    </row>
    <row r="11" spans="1:7">
      <c r="A11" t="s">
        <v>24</v>
      </c>
      <c r="B11">
        <v>5.6</v>
      </c>
      <c r="C11">
        <v>10</v>
      </c>
      <c r="D11">
        <f t="shared" si="0"/>
        <v>6.6479999999999997</v>
      </c>
      <c r="E11">
        <f t="shared" si="1"/>
        <v>0.84235860409145602</v>
      </c>
    </row>
    <row r="12" spans="1:7">
      <c r="A12" t="s">
        <v>26</v>
      </c>
      <c r="B12">
        <v>7.5</v>
      </c>
      <c r="C12">
        <v>11</v>
      </c>
      <c r="D12">
        <f t="shared" si="0"/>
        <v>6.8277999999999999</v>
      </c>
      <c r="E12">
        <f t="shared" si="1"/>
        <v>1.0984504525615866</v>
      </c>
    </row>
    <row r="13" spans="1:7">
      <c r="A13" t="s">
        <v>28</v>
      </c>
      <c r="B13">
        <v>7.8</v>
      </c>
      <c r="C13">
        <v>12</v>
      </c>
      <c r="D13">
        <f t="shared" si="0"/>
        <v>7.0076000000000001</v>
      </c>
      <c r="E13">
        <f t="shared" si="1"/>
        <v>1.1130772304355272</v>
      </c>
    </row>
    <row r="14" spans="1:7">
      <c r="A14" t="s">
        <v>22</v>
      </c>
      <c r="B14">
        <v>6.3</v>
      </c>
      <c r="C14">
        <v>13</v>
      </c>
      <c r="D14">
        <f t="shared" si="0"/>
        <v>7.1873999999999993</v>
      </c>
      <c r="E14">
        <f t="shared" si="1"/>
        <v>0.87653393438517413</v>
      </c>
    </row>
    <row r="15" spans="1:7">
      <c r="A15" t="s">
        <v>24</v>
      </c>
      <c r="B15">
        <v>5.9</v>
      </c>
      <c r="C15">
        <v>14</v>
      </c>
      <c r="D15">
        <f t="shared" si="0"/>
        <v>7.3671999999999995</v>
      </c>
      <c r="E15">
        <f t="shared" si="1"/>
        <v>0.80084699750244337</v>
      </c>
    </row>
    <row r="16" spans="1:7">
      <c r="A16" t="s">
        <v>26</v>
      </c>
      <c r="B16">
        <v>8</v>
      </c>
      <c r="C16">
        <v>15</v>
      </c>
      <c r="D16">
        <f t="shared" si="0"/>
        <v>7.5469999999999988</v>
      </c>
      <c r="E16">
        <f t="shared" si="1"/>
        <v>1.0600238505366373</v>
      </c>
    </row>
    <row r="17" spans="1:8">
      <c r="A17" t="s">
        <v>28</v>
      </c>
      <c r="B17">
        <v>8.4</v>
      </c>
      <c r="C17">
        <v>16</v>
      </c>
      <c r="D17">
        <f t="shared" si="0"/>
        <v>7.726799999999999</v>
      </c>
      <c r="E17">
        <f t="shared" si="1"/>
        <v>1.0871253300201897</v>
      </c>
    </row>
    <row r="18" spans="1:8">
      <c r="B18">
        <f>AVERAGE(B2:B17)</f>
        <v>6.3812499999999996</v>
      </c>
    </row>
    <row r="20" spans="1:8" ht="15">
      <c r="A20" s="21" t="s">
        <v>39</v>
      </c>
      <c r="B20" s="21" t="s">
        <v>40</v>
      </c>
      <c r="C20" s="21" t="s">
        <v>45</v>
      </c>
      <c r="D20" s="21" t="s">
        <v>47</v>
      </c>
      <c r="E20" s="22"/>
      <c r="F20" s="18"/>
      <c r="G20" s="17"/>
      <c r="H20" s="17"/>
    </row>
    <row r="21" spans="1:8">
      <c r="A21" s="21" t="s">
        <v>22</v>
      </c>
      <c r="B21" s="21">
        <v>4.8</v>
      </c>
      <c r="C21" s="21" t="s">
        <v>46</v>
      </c>
      <c r="D21" s="21"/>
      <c r="E21" s="23"/>
      <c r="F21" s="20"/>
      <c r="G21" s="19"/>
      <c r="H21" s="19"/>
    </row>
    <row r="22" spans="1:8">
      <c r="A22" s="21" t="s">
        <v>24</v>
      </c>
      <c r="B22" s="21">
        <v>4.0999999999999996</v>
      </c>
      <c r="C22" s="21" t="s">
        <v>46</v>
      </c>
      <c r="D22" s="21"/>
      <c r="E22" s="23"/>
      <c r="F22" s="20"/>
      <c r="G22" s="19"/>
      <c r="H22" s="19"/>
    </row>
    <row r="23" spans="1:8">
      <c r="A23" s="21" t="s">
        <v>26</v>
      </c>
      <c r="B23" s="21">
        <v>6</v>
      </c>
      <c r="C23" s="21" t="s">
        <v>46</v>
      </c>
      <c r="D23" s="21">
        <f>SUM(C24:C25)/2</f>
        <v>5.4749999999999996</v>
      </c>
      <c r="E23" s="23">
        <f>B23/D23*100</f>
        <v>109.58904109589042</v>
      </c>
      <c r="F23" s="20"/>
      <c r="G23" s="19"/>
      <c r="H23" s="19"/>
    </row>
    <row r="24" spans="1:8">
      <c r="A24" s="21" t="s">
        <v>28</v>
      </c>
      <c r="B24" s="21">
        <v>6.5</v>
      </c>
      <c r="C24" s="21">
        <f t="shared" ref="C24:C36" si="2">SUM(B21:B24)/4</f>
        <v>5.35</v>
      </c>
      <c r="D24" s="21">
        <f t="shared" ref="D24:D34" si="3">SUM(C25:C26)/2</f>
        <v>5.7375000000000007</v>
      </c>
      <c r="E24" s="23">
        <f t="shared" ref="E24:E34" si="4">B24/D24*100</f>
        <v>113.28976034858387</v>
      </c>
      <c r="F24" s="20"/>
      <c r="G24" s="19"/>
      <c r="H24" s="19"/>
    </row>
    <row r="25" spans="1:8">
      <c r="A25" s="21" t="s">
        <v>22</v>
      </c>
      <c r="B25" s="21">
        <v>5.8</v>
      </c>
      <c r="C25" s="21">
        <f t="shared" si="2"/>
        <v>5.6000000000000005</v>
      </c>
      <c r="D25" s="21">
        <f t="shared" si="3"/>
        <v>5.9749999999999996</v>
      </c>
      <c r="E25" s="23">
        <f t="shared" si="4"/>
        <v>97.071129707112974</v>
      </c>
      <c r="G25" s="24" t="s">
        <v>22</v>
      </c>
      <c r="H25" s="25">
        <f>(E25+E29+E33)/3</f>
        <v>93.220047731596011</v>
      </c>
    </row>
    <row r="26" spans="1:8">
      <c r="A26" s="21" t="s">
        <v>24</v>
      </c>
      <c r="B26" s="21">
        <v>5.2</v>
      </c>
      <c r="C26" s="21">
        <f t="shared" si="2"/>
        <v>5.875</v>
      </c>
      <c r="D26" s="21">
        <f t="shared" si="3"/>
        <v>6.1875</v>
      </c>
      <c r="E26" s="23">
        <f t="shared" si="4"/>
        <v>84.040404040404042</v>
      </c>
      <c r="F26" s="20"/>
      <c r="G26" s="19" t="s">
        <v>24</v>
      </c>
      <c r="H26" s="23">
        <f>(E26+E30+E34)/3</f>
        <v>83.775920424985415</v>
      </c>
    </row>
    <row r="27" spans="1:8">
      <c r="A27" s="21" t="s">
        <v>26</v>
      </c>
      <c r="B27" s="21">
        <v>6.8</v>
      </c>
      <c r="C27" s="21">
        <f t="shared" si="2"/>
        <v>6.0750000000000002</v>
      </c>
      <c r="D27" s="21">
        <f t="shared" si="3"/>
        <v>6.3250000000000002</v>
      </c>
      <c r="E27" s="23">
        <f t="shared" si="4"/>
        <v>107.50988142292491</v>
      </c>
      <c r="F27" s="20"/>
      <c r="G27" s="19" t="s">
        <v>26</v>
      </c>
      <c r="H27" s="23">
        <f>(E27+E31)/2</f>
        <v>109.20780577615747</v>
      </c>
    </row>
    <row r="28" spans="1:8">
      <c r="A28" s="21" t="s">
        <v>28</v>
      </c>
      <c r="B28" s="21">
        <v>7.4</v>
      </c>
      <c r="C28" s="21">
        <f t="shared" si="2"/>
        <v>6.3000000000000007</v>
      </c>
      <c r="D28" s="21">
        <f t="shared" si="3"/>
        <v>6.3999999999999995</v>
      </c>
      <c r="E28" s="23">
        <f t="shared" si="4"/>
        <v>115.62500000000003</v>
      </c>
      <c r="F28" s="20"/>
      <c r="G28" s="19" t="s">
        <v>28</v>
      </c>
      <c r="H28" s="23">
        <f>(E28+E32)/2</f>
        <v>114.85089122486289</v>
      </c>
    </row>
    <row r="29" spans="1:8">
      <c r="A29" s="21" t="s">
        <v>22</v>
      </c>
      <c r="B29" s="21">
        <v>6</v>
      </c>
      <c r="C29" s="21">
        <f t="shared" si="2"/>
        <v>6.35</v>
      </c>
      <c r="D29" s="21">
        <f t="shared" si="3"/>
        <v>6.5374999999999996</v>
      </c>
      <c r="E29" s="23">
        <f t="shared" si="4"/>
        <v>91.778202676864254</v>
      </c>
      <c r="F29" s="20"/>
      <c r="G29" s="19" t="s">
        <v>48</v>
      </c>
      <c r="H29" s="23">
        <f>SUM(H25:H28)</f>
        <v>401.05466515760179</v>
      </c>
    </row>
    <row r="30" spans="1:8">
      <c r="A30" s="21" t="s">
        <v>24</v>
      </c>
      <c r="B30" s="21">
        <v>5.6</v>
      </c>
      <c r="C30" s="21">
        <f t="shared" si="2"/>
        <v>6.4499999999999993</v>
      </c>
      <c r="D30" s="21">
        <f t="shared" si="3"/>
        <v>6.6750000000000007</v>
      </c>
      <c r="E30" s="23">
        <f t="shared" si="4"/>
        <v>83.8951310861423</v>
      </c>
      <c r="F30" s="20"/>
      <c r="G30" s="19"/>
      <c r="H30" s="19"/>
    </row>
    <row r="31" spans="1:8">
      <c r="A31" s="21" t="s">
        <v>26</v>
      </c>
      <c r="B31" s="21">
        <v>7.5</v>
      </c>
      <c r="C31" s="21">
        <f t="shared" si="2"/>
        <v>6.625</v>
      </c>
      <c r="D31" s="21">
        <f t="shared" si="3"/>
        <v>6.7625000000000002</v>
      </c>
      <c r="E31" s="23">
        <f t="shared" si="4"/>
        <v>110.90573012939002</v>
      </c>
      <c r="F31" s="20"/>
      <c r="G31" s="19"/>
      <c r="H31" s="19"/>
    </row>
    <row r="32" spans="1:8">
      <c r="A32" s="21" t="s">
        <v>28</v>
      </c>
      <c r="B32" s="21">
        <v>7.8</v>
      </c>
      <c r="C32" s="21">
        <f t="shared" si="2"/>
        <v>6.7250000000000005</v>
      </c>
      <c r="D32" s="21">
        <f t="shared" si="3"/>
        <v>6.8375000000000004</v>
      </c>
      <c r="E32" s="23">
        <f t="shared" si="4"/>
        <v>114.07678244972577</v>
      </c>
      <c r="F32" s="20"/>
      <c r="G32" s="19"/>
      <c r="H32" s="19"/>
    </row>
    <row r="33" spans="1:8">
      <c r="A33" s="21" t="s">
        <v>22</v>
      </c>
      <c r="B33" s="21">
        <v>6.3</v>
      </c>
      <c r="C33" s="21">
        <f t="shared" si="2"/>
        <v>6.8</v>
      </c>
      <c r="D33" s="21">
        <f t="shared" si="3"/>
        <v>6.9375</v>
      </c>
      <c r="E33" s="23">
        <f t="shared" si="4"/>
        <v>90.810810810810807</v>
      </c>
      <c r="F33" s="20"/>
      <c r="G33" s="19"/>
      <c r="H33" s="19"/>
    </row>
    <row r="34" spans="1:8">
      <c r="A34" s="21" t="s">
        <v>24</v>
      </c>
      <c r="B34" s="21">
        <v>5.9</v>
      </c>
      <c r="C34" s="21">
        <f t="shared" si="2"/>
        <v>6.875</v>
      </c>
      <c r="D34" s="21">
        <f t="shared" si="3"/>
        <v>7.0750000000000002</v>
      </c>
      <c r="E34" s="23">
        <f t="shared" si="4"/>
        <v>83.392226148409904</v>
      </c>
      <c r="F34" s="20"/>
      <c r="G34" s="19"/>
      <c r="H34" s="19"/>
    </row>
    <row r="35" spans="1:8">
      <c r="A35" s="21" t="s">
        <v>26</v>
      </c>
      <c r="B35" s="21">
        <v>8</v>
      </c>
      <c r="C35" s="21">
        <f t="shared" si="2"/>
        <v>7</v>
      </c>
      <c r="D35" s="21"/>
      <c r="E35" s="23"/>
      <c r="F35" s="20"/>
      <c r="G35" s="19"/>
      <c r="H35" s="19"/>
    </row>
    <row r="36" spans="1:8">
      <c r="A36" s="21" t="s">
        <v>28</v>
      </c>
      <c r="B36" s="21">
        <v>8.4</v>
      </c>
      <c r="C36" s="21">
        <f t="shared" si="2"/>
        <v>7.15</v>
      </c>
      <c r="D36" s="21"/>
      <c r="E36" s="23"/>
      <c r="F36" s="20"/>
      <c r="G36" s="19"/>
      <c r="H36" s="19"/>
    </row>
  </sheetData>
  <phoneticPr fontId="3" type="noConversion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F176-01BA-48F1-B2A8-F5B7D16EF4F0}">
  <dimension ref="A1:M24"/>
  <sheetViews>
    <sheetView workbookViewId="0">
      <selection activeCell="E35" sqref="E35"/>
    </sheetView>
  </sheetViews>
  <sheetFormatPr defaultRowHeight="14.25"/>
  <cols>
    <col min="4" max="4" width="20.25" bestFit="1" customWidth="1"/>
    <col min="5" max="5" width="15.625" bestFit="1" customWidth="1"/>
    <col min="12" max="12" width="20.25" bestFit="1" customWidth="1"/>
    <col min="13" max="13" width="15.625" bestFit="1" customWidth="1"/>
  </cols>
  <sheetData>
    <row r="1" spans="1:13">
      <c r="A1" t="s">
        <v>49</v>
      </c>
      <c r="B1" t="s">
        <v>0</v>
      </c>
      <c r="C1" t="s">
        <v>6</v>
      </c>
      <c r="D1" t="s">
        <v>50</v>
      </c>
      <c r="E1" t="s">
        <v>51</v>
      </c>
      <c r="I1" t="s">
        <v>49</v>
      </c>
      <c r="J1" t="s">
        <v>0</v>
      </c>
      <c r="K1" t="s">
        <v>6</v>
      </c>
      <c r="L1" t="s">
        <v>50</v>
      </c>
      <c r="M1" t="s">
        <v>51</v>
      </c>
    </row>
    <row r="2" spans="1:13">
      <c r="A2">
        <v>1</v>
      </c>
      <c r="B2">
        <v>2010</v>
      </c>
      <c r="C2">
        <v>1451</v>
      </c>
      <c r="D2">
        <f>C2</f>
        <v>1451</v>
      </c>
      <c r="E2">
        <v>0</v>
      </c>
      <c r="I2">
        <v>1</v>
      </c>
      <c r="J2">
        <v>2010</v>
      </c>
      <c r="K2">
        <v>1451</v>
      </c>
    </row>
    <row r="3" spans="1:13">
      <c r="A3">
        <v>2</v>
      </c>
      <c r="B3">
        <v>2011</v>
      </c>
      <c r="C3">
        <v>1499</v>
      </c>
      <c r="D3">
        <f>0.8*C3+(1-0.8)*(C2*E2)</f>
        <v>1199.2</v>
      </c>
      <c r="E3">
        <f>0.4*(D3-D2)+(1-0.4)*E2</f>
        <v>-100.71999999999998</v>
      </c>
      <c r="I3">
        <v>2</v>
      </c>
      <c r="J3">
        <v>2011</v>
      </c>
      <c r="K3">
        <v>1499</v>
      </c>
    </row>
    <row r="4" spans="1:13">
      <c r="A4">
        <v>3</v>
      </c>
      <c r="B4">
        <v>2012</v>
      </c>
      <c r="C4">
        <v>1686</v>
      </c>
      <c r="I4">
        <v>3</v>
      </c>
      <c r="J4">
        <v>2012</v>
      </c>
      <c r="K4">
        <v>1686</v>
      </c>
    </row>
    <row r="5" spans="1:13">
      <c r="A5">
        <v>4</v>
      </c>
      <c r="B5">
        <v>2013</v>
      </c>
      <c r="C5">
        <v>1764</v>
      </c>
      <c r="I5">
        <v>4</v>
      </c>
      <c r="J5">
        <v>2013</v>
      </c>
      <c r="K5">
        <v>1764</v>
      </c>
    </row>
    <row r="6" spans="1:13">
      <c r="A6">
        <v>5</v>
      </c>
      <c r="B6">
        <v>2014</v>
      </c>
      <c r="C6">
        <v>1879</v>
      </c>
      <c r="I6">
        <v>5</v>
      </c>
      <c r="J6">
        <v>2014</v>
      </c>
      <c r="K6">
        <v>1879</v>
      </c>
    </row>
    <row r="7" spans="1:13">
      <c r="A7">
        <v>6</v>
      </c>
      <c r="B7">
        <v>2015</v>
      </c>
      <c r="C7">
        <v>1948</v>
      </c>
      <c r="I7">
        <v>6</v>
      </c>
      <c r="J7">
        <v>2015</v>
      </c>
      <c r="K7">
        <v>1948</v>
      </c>
    </row>
    <row r="8" spans="1:13">
      <c r="A8">
        <v>7</v>
      </c>
      <c r="B8">
        <v>2016</v>
      </c>
      <c r="C8">
        <v>2013</v>
      </c>
      <c r="I8">
        <v>7</v>
      </c>
      <c r="J8">
        <v>2016</v>
      </c>
      <c r="K8">
        <v>2013</v>
      </c>
    </row>
    <row r="9" spans="1:13">
      <c r="A9">
        <v>8</v>
      </c>
      <c r="B9">
        <v>2017</v>
      </c>
      <c r="C9">
        <v>2090</v>
      </c>
      <c r="I9">
        <v>8</v>
      </c>
      <c r="J9">
        <v>2017</v>
      </c>
      <c r="K9">
        <v>2090</v>
      </c>
    </row>
    <row r="10" spans="1:13">
      <c r="A10">
        <v>9</v>
      </c>
      <c r="B10">
        <v>2018</v>
      </c>
      <c r="C10">
        <v>2173</v>
      </c>
      <c r="I10">
        <v>9</v>
      </c>
      <c r="J10">
        <v>2018</v>
      </c>
      <c r="K10">
        <v>2173</v>
      </c>
    </row>
    <row r="11" spans="1:13">
      <c r="A11">
        <v>10</v>
      </c>
      <c r="B11">
        <v>2019</v>
      </c>
      <c r="C11">
        <v>2286</v>
      </c>
      <c r="I11">
        <v>10</v>
      </c>
      <c r="J11">
        <v>2019</v>
      </c>
      <c r="K11">
        <v>2286</v>
      </c>
    </row>
    <row r="14" spans="1:13">
      <c r="A14" s="26" t="s">
        <v>52</v>
      </c>
      <c r="B14" s="26" t="s">
        <v>0</v>
      </c>
      <c r="C14" s="26" t="s">
        <v>6</v>
      </c>
      <c r="D14" t="s">
        <v>50</v>
      </c>
      <c r="E14" t="s">
        <v>51</v>
      </c>
      <c r="F14" s="26" t="s">
        <v>53</v>
      </c>
    </row>
    <row r="15" spans="1:13">
      <c r="A15" s="20">
        <v>1</v>
      </c>
      <c r="B15" s="20">
        <v>2010</v>
      </c>
      <c r="C15" s="20">
        <v>1451</v>
      </c>
      <c r="D15" s="27">
        <f>C15</f>
        <v>1451</v>
      </c>
      <c r="E15" s="27">
        <f>C16-C15</f>
        <v>48</v>
      </c>
      <c r="F15" s="27">
        <f t="shared" ref="F15:F24" si="0">D15+E15</f>
        <v>1499</v>
      </c>
    </row>
    <row r="16" spans="1:13">
      <c r="A16" s="20">
        <v>2</v>
      </c>
      <c r="B16" s="20">
        <v>2011</v>
      </c>
      <c r="C16" s="20">
        <v>1499</v>
      </c>
      <c r="D16" s="27">
        <f t="shared" ref="D16:D24" si="1">0.8*C16+0.2*(D15+E15)</f>
        <v>1499</v>
      </c>
      <c r="E16" s="27">
        <f t="shared" ref="E16:E24" si="2">0.4*(D16-D15)+0.6*E15</f>
        <v>48</v>
      </c>
      <c r="F16" s="27">
        <f t="shared" si="0"/>
        <v>1547</v>
      </c>
    </row>
    <row r="17" spans="1:6">
      <c r="A17" s="20">
        <v>3</v>
      </c>
      <c r="B17" s="20">
        <v>2012</v>
      </c>
      <c r="C17" s="20">
        <v>1686</v>
      </c>
      <c r="D17" s="27">
        <f t="shared" si="1"/>
        <v>1658.2000000000003</v>
      </c>
      <c r="E17" s="27">
        <f t="shared" si="2"/>
        <v>92.480000000000103</v>
      </c>
      <c r="F17" s="27">
        <f t="shared" si="0"/>
        <v>1750.6800000000003</v>
      </c>
    </row>
    <row r="18" spans="1:6">
      <c r="A18" s="20">
        <v>4</v>
      </c>
      <c r="B18" s="20">
        <v>2013</v>
      </c>
      <c r="C18" s="20">
        <v>1764</v>
      </c>
      <c r="D18" s="27">
        <f t="shared" si="1"/>
        <v>1761.3360000000002</v>
      </c>
      <c r="E18" s="27">
        <f t="shared" si="2"/>
        <v>96.74240000000006</v>
      </c>
      <c r="F18" s="27">
        <f t="shared" si="0"/>
        <v>1858.0784000000003</v>
      </c>
    </row>
    <row r="19" spans="1:6">
      <c r="A19" s="20">
        <v>5</v>
      </c>
      <c r="B19" s="20">
        <v>2014</v>
      </c>
      <c r="C19" s="20">
        <v>1879</v>
      </c>
      <c r="D19" s="27">
        <f t="shared" si="1"/>
        <v>1874.8156800000002</v>
      </c>
      <c r="E19" s="27">
        <f t="shared" si="2"/>
        <v>103.43731200000001</v>
      </c>
      <c r="F19" s="27">
        <f t="shared" si="0"/>
        <v>1978.2529920000002</v>
      </c>
    </row>
    <row r="20" spans="1:6">
      <c r="A20" s="20">
        <v>6</v>
      </c>
      <c r="B20" s="20">
        <v>2015</v>
      </c>
      <c r="C20" s="20">
        <v>1948</v>
      </c>
      <c r="D20" s="27">
        <f t="shared" si="1"/>
        <v>1954.0505984000001</v>
      </c>
      <c r="E20" s="27">
        <f t="shared" si="2"/>
        <v>93.756354559999991</v>
      </c>
      <c r="F20" s="27">
        <f t="shared" si="0"/>
        <v>2047.8069529600002</v>
      </c>
    </row>
    <row r="21" spans="1:6">
      <c r="A21" s="20">
        <v>7</v>
      </c>
      <c r="B21" s="20">
        <v>2016</v>
      </c>
      <c r="C21" s="20">
        <v>2013</v>
      </c>
      <c r="D21" s="27">
        <f t="shared" si="1"/>
        <v>2019.961390592</v>
      </c>
      <c r="E21" s="27">
        <f t="shared" si="2"/>
        <v>82.618129612799962</v>
      </c>
      <c r="F21" s="27">
        <f t="shared" si="0"/>
        <v>2102.5795202047998</v>
      </c>
    </row>
    <row r="22" spans="1:6">
      <c r="A22" s="20">
        <v>8</v>
      </c>
      <c r="B22" s="20">
        <v>2017</v>
      </c>
      <c r="C22" s="20">
        <v>2090</v>
      </c>
      <c r="D22" s="27">
        <f t="shared" si="1"/>
        <v>2092.5159040409599</v>
      </c>
      <c r="E22" s="27">
        <f t="shared" si="2"/>
        <v>78.592683147263898</v>
      </c>
      <c r="F22" s="27">
        <f t="shared" si="0"/>
        <v>2171.1085871882237</v>
      </c>
    </row>
    <row r="23" spans="1:6">
      <c r="A23" s="20">
        <v>9</v>
      </c>
      <c r="B23" s="20">
        <v>2018</v>
      </c>
      <c r="C23" s="20">
        <v>2173</v>
      </c>
      <c r="D23" s="27">
        <f t="shared" si="1"/>
        <v>2172.6217174376447</v>
      </c>
      <c r="E23" s="27">
        <f t="shared" si="2"/>
        <v>79.197935247032291</v>
      </c>
      <c r="F23" s="27">
        <f t="shared" si="0"/>
        <v>2251.8196526846768</v>
      </c>
    </row>
    <row r="24" spans="1:6">
      <c r="A24" s="20">
        <v>10</v>
      </c>
      <c r="B24" s="20">
        <v>2019</v>
      </c>
      <c r="C24" s="20">
        <v>2286</v>
      </c>
      <c r="D24" s="27">
        <f t="shared" si="1"/>
        <v>2279.1639305369354</v>
      </c>
      <c r="E24" s="27">
        <f t="shared" si="2"/>
        <v>90.135646387935623</v>
      </c>
      <c r="F24" s="27">
        <f t="shared" si="0"/>
        <v>2369.299576924871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44E7-2BB4-47B2-BF22-9D33AD8358A8}">
  <dimension ref="A1:F12"/>
  <sheetViews>
    <sheetView showFormulas="1" zoomScale="186" workbookViewId="0">
      <selection activeCell="E12" sqref="E12"/>
    </sheetView>
  </sheetViews>
  <sheetFormatPr defaultRowHeight="14.25"/>
  <cols>
    <col min="1" max="1" width="4.625" bestFit="1" customWidth="1"/>
    <col min="2" max="2" width="4.875" bestFit="1" customWidth="1"/>
    <col min="3" max="3" width="5.5" bestFit="1" customWidth="1"/>
    <col min="4" max="4" width="20.25" bestFit="1" customWidth="1"/>
    <col min="5" max="5" width="15.625" bestFit="1" customWidth="1"/>
    <col min="6" max="6" width="8.125" bestFit="1" customWidth="1"/>
  </cols>
  <sheetData>
    <row r="1" spans="1:6">
      <c r="A1" s="26" t="s">
        <v>52</v>
      </c>
      <c r="B1" s="26" t="s">
        <v>0</v>
      </c>
      <c r="C1" s="26" t="s">
        <v>6</v>
      </c>
      <c r="D1" t="s">
        <v>55</v>
      </c>
      <c r="E1" t="s">
        <v>54</v>
      </c>
      <c r="F1" s="26" t="s">
        <v>53</v>
      </c>
    </row>
    <row r="2" spans="1:6">
      <c r="A2" s="20">
        <v>1</v>
      </c>
      <c r="B2" s="20">
        <v>2010</v>
      </c>
      <c r="C2" s="20">
        <v>1451</v>
      </c>
      <c r="D2" s="27">
        <f>C2</f>
        <v>1451</v>
      </c>
      <c r="E2" s="27">
        <f>0</f>
        <v>0</v>
      </c>
      <c r="F2">
        <f>0</f>
        <v>0</v>
      </c>
    </row>
    <row r="3" spans="1:6">
      <c r="A3" s="20">
        <v>2</v>
      </c>
      <c r="B3" s="20">
        <v>2011</v>
      </c>
      <c r="C3" s="20">
        <v>1499</v>
      </c>
      <c r="D3" s="27">
        <f>0.5*C3+(1-0.5)*(D2+E2)</f>
        <v>1475</v>
      </c>
      <c r="E3" s="27">
        <f>0.5*(D3-D2)+(1-0.5)*E2</f>
        <v>12</v>
      </c>
      <c r="F3" s="27">
        <f t="shared" ref="F3:F12" si="0">D2+E2</f>
        <v>1451</v>
      </c>
    </row>
    <row r="4" spans="1:6">
      <c r="A4" s="20">
        <v>3</v>
      </c>
      <c r="B4" s="20">
        <v>2012</v>
      </c>
      <c r="C4" s="20">
        <v>1686</v>
      </c>
      <c r="D4" s="27">
        <f t="shared" ref="D4:D11" si="1">0.5*C4+(1-0.5)*(D3+E3)</f>
        <v>1586.5</v>
      </c>
      <c r="E4" s="27">
        <f t="shared" ref="E4:E11" si="2">0.5*(D4-D3)+(1-0.5)*E3</f>
        <v>61.75</v>
      </c>
      <c r="F4" s="27">
        <f t="shared" si="0"/>
        <v>1487</v>
      </c>
    </row>
    <row r="5" spans="1:6">
      <c r="A5" s="20">
        <v>4</v>
      </c>
      <c r="B5" s="20">
        <v>2013</v>
      </c>
      <c r="C5" s="20">
        <v>1764</v>
      </c>
      <c r="D5" s="27">
        <f t="shared" si="1"/>
        <v>1706.125</v>
      </c>
      <c r="E5" s="27">
        <f t="shared" si="2"/>
        <v>90.6875</v>
      </c>
      <c r="F5" s="27">
        <f t="shared" si="0"/>
        <v>1648.25</v>
      </c>
    </row>
    <row r="6" spans="1:6">
      <c r="A6" s="20">
        <v>5</v>
      </c>
      <c r="B6" s="20">
        <v>2014</v>
      </c>
      <c r="C6" s="20">
        <v>1879</v>
      </c>
      <c r="D6" s="27">
        <f t="shared" si="1"/>
        <v>1837.90625</v>
      </c>
      <c r="E6" s="27">
        <f t="shared" si="2"/>
        <v>111.234375</v>
      </c>
      <c r="F6" s="27">
        <f t="shared" si="0"/>
        <v>1796.8125</v>
      </c>
    </row>
    <row r="7" spans="1:6">
      <c r="A7" s="20">
        <v>6</v>
      </c>
      <c r="B7" s="20">
        <v>2015</v>
      </c>
      <c r="C7" s="20">
        <v>1948</v>
      </c>
      <c r="D7" s="27">
        <f t="shared" si="1"/>
        <v>1948.5703125</v>
      </c>
      <c r="E7" s="27">
        <f t="shared" si="2"/>
        <v>110.94921875</v>
      </c>
      <c r="F7" s="27">
        <f t="shared" si="0"/>
        <v>1949.140625</v>
      </c>
    </row>
    <row r="8" spans="1:6">
      <c r="A8" s="20">
        <v>7</v>
      </c>
      <c r="B8" s="20">
        <v>2016</v>
      </c>
      <c r="C8" s="20">
        <v>2013</v>
      </c>
      <c r="D8" s="27">
        <f t="shared" si="1"/>
        <v>2036.259765625</v>
      </c>
      <c r="E8" s="27">
        <f t="shared" si="2"/>
        <v>99.3193359375</v>
      </c>
      <c r="F8" s="27">
        <f t="shared" si="0"/>
        <v>2059.51953125</v>
      </c>
    </row>
    <row r="9" spans="1:6">
      <c r="A9" s="20">
        <v>8</v>
      </c>
      <c r="B9" s="20">
        <v>2017</v>
      </c>
      <c r="C9" s="20">
        <v>2090</v>
      </c>
      <c r="D9" s="27">
        <f t="shared" si="1"/>
        <v>2112.78955078125</v>
      </c>
      <c r="E9" s="27">
        <f t="shared" si="2"/>
        <v>87.924560546875</v>
      </c>
      <c r="F9" s="27">
        <f t="shared" si="0"/>
        <v>2135.5791015625</v>
      </c>
    </row>
    <row r="10" spans="1:6">
      <c r="A10" s="20">
        <v>9</v>
      </c>
      <c r="B10" s="20">
        <v>2018</v>
      </c>
      <c r="C10" s="20">
        <v>2173</v>
      </c>
      <c r="D10" s="27">
        <f t="shared" si="1"/>
        <v>2186.8570556640625</v>
      </c>
      <c r="E10" s="27">
        <f t="shared" si="2"/>
        <v>80.99603271484375</v>
      </c>
      <c r="F10" s="27">
        <f t="shared" si="0"/>
        <v>2200.714111328125</v>
      </c>
    </row>
    <row r="11" spans="1:6">
      <c r="A11" s="20">
        <v>10</v>
      </c>
      <c r="B11" s="20">
        <v>2019</v>
      </c>
      <c r="C11" s="20">
        <v>2286</v>
      </c>
      <c r="D11" s="27">
        <f t="shared" si="1"/>
        <v>2276.9265441894531</v>
      </c>
      <c r="E11" s="27">
        <f t="shared" si="2"/>
        <v>85.532760620117188</v>
      </c>
      <c r="F11" s="27">
        <f t="shared" si="0"/>
        <v>2267.8530883789063</v>
      </c>
    </row>
    <row r="12" spans="1:6">
      <c r="A12" s="20">
        <v>11</v>
      </c>
      <c r="B12" s="20">
        <v>2020</v>
      </c>
      <c r="F12" s="27">
        <f t="shared" si="0"/>
        <v>2362.4593048095703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3D8C-583C-4382-829E-773D66918166}">
  <dimension ref="A1:I34"/>
  <sheetViews>
    <sheetView zoomScale="145" zoomScaleNormal="145" workbookViewId="0">
      <selection activeCell="B15" sqref="B15"/>
    </sheetView>
  </sheetViews>
  <sheetFormatPr defaultRowHeight="14.25"/>
  <cols>
    <col min="1" max="1" width="14.125" bestFit="1" customWidth="1"/>
    <col min="2" max="2" width="13.375" bestFit="1" customWidth="1"/>
    <col min="3" max="4" width="11.75" bestFit="1" customWidth="1"/>
  </cols>
  <sheetData>
    <row r="1" spans="1:9" ht="15">
      <c r="A1" s="46" t="s">
        <v>58</v>
      </c>
      <c r="B1" s="46"/>
      <c r="C1" s="46"/>
      <c r="D1" s="46"/>
      <c r="E1" s="46"/>
      <c r="F1" s="46"/>
      <c r="G1" s="46"/>
      <c r="H1" s="46"/>
      <c r="I1" s="46"/>
    </row>
    <row r="2" spans="1:9">
      <c r="B2" t="s">
        <v>22</v>
      </c>
      <c r="C2" t="s">
        <v>24</v>
      </c>
      <c r="D2" t="s">
        <v>26</v>
      </c>
      <c r="E2" t="s">
        <v>28</v>
      </c>
    </row>
    <row r="3" spans="1:9">
      <c r="A3">
        <v>2011</v>
      </c>
      <c r="B3" s="28">
        <v>3.7</v>
      </c>
      <c r="C3" s="28">
        <v>4.7</v>
      </c>
      <c r="D3" s="28">
        <v>3.3</v>
      </c>
      <c r="E3" s="28">
        <v>3.5</v>
      </c>
      <c r="G3" s="45" t="s">
        <v>43</v>
      </c>
      <c r="H3" t="s">
        <v>22</v>
      </c>
      <c r="I3">
        <f>B7/$B$9</f>
        <v>0.97674418604651181</v>
      </c>
    </row>
    <row r="4" spans="1:9">
      <c r="A4">
        <v>2012</v>
      </c>
      <c r="B4" s="28">
        <v>3.7</v>
      </c>
      <c r="C4" s="28">
        <v>3.9</v>
      </c>
      <c r="D4" s="28">
        <v>3.6</v>
      </c>
      <c r="E4" s="28">
        <v>3.6</v>
      </c>
      <c r="G4" s="45"/>
      <c r="H4" t="s">
        <v>24</v>
      </c>
      <c r="I4">
        <f>C7/$B$9</f>
        <v>1.1362126245847179</v>
      </c>
    </row>
    <row r="5" spans="1:9">
      <c r="A5">
        <v>2013</v>
      </c>
      <c r="B5" s="28">
        <v>4</v>
      </c>
      <c r="C5" s="28">
        <v>4.0999999999999996</v>
      </c>
      <c r="D5" s="28">
        <v>3.3</v>
      </c>
      <c r="E5" s="28">
        <v>3.1</v>
      </c>
      <c r="G5" s="45"/>
      <c r="H5" t="s">
        <v>26</v>
      </c>
      <c r="I5">
        <f>D7/$B$9</f>
        <v>0.94352159468438557</v>
      </c>
    </row>
    <row r="6" spans="1:9">
      <c r="A6">
        <v>2014</v>
      </c>
      <c r="B6" s="28">
        <v>3.3</v>
      </c>
      <c r="C6" s="28">
        <v>4.4000000000000004</v>
      </c>
      <c r="D6" s="28">
        <v>4</v>
      </c>
      <c r="E6" s="28">
        <v>4</v>
      </c>
      <c r="G6" s="45"/>
      <c r="H6" t="s">
        <v>28</v>
      </c>
      <c r="I6">
        <f>E7/$B$9</f>
        <v>0.94352159468438557</v>
      </c>
    </row>
    <row r="7" spans="1:9">
      <c r="A7" t="s">
        <v>56</v>
      </c>
      <c r="B7" s="28">
        <f>AVERAGE(B3:B6)</f>
        <v>3.6749999999999998</v>
      </c>
      <c r="C7" s="28">
        <f t="shared" ref="C7:E7" si="0">AVERAGE(C3:C6)</f>
        <v>4.2750000000000004</v>
      </c>
      <c r="D7" s="28">
        <f t="shared" si="0"/>
        <v>3.55</v>
      </c>
      <c r="E7" s="28">
        <f t="shared" si="0"/>
        <v>3.55</v>
      </c>
      <c r="H7" t="s">
        <v>59</v>
      </c>
      <c r="I7">
        <f>SUM(I3:I6)</f>
        <v>4.0000000000000009</v>
      </c>
    </row>
    <row r="9" spans="1:9">
      <c r="A9" t="s">
        <v>57</v>
      </c>
      <c r="B9" s="28">
        <f>AVERAGE(B3:E7)</f>
        <v>3.7624999999999993</v>
      </c>
    </row>
    <row r="12" spans="1:9" ht="15">
      <c r="A12" s="46" t="s">
        <v>60</v>
      </c>
      <c r="B12" s="46"/>
      <c r="C12" s="46"/>
      <c r="D12" s="46"/>
      <c r="E12" s="46"/>
      <c r="F12" s="46"/>
      <c r="G12" s="46"/>
      <c r="H12" s="46"/>
      <c r="I12" s="46"/>
    </row>
    <row r="14" spans="1:9">
      <c r="B14" t="s">
        <v>22</v>
      </c>
      <c r="C14" t="s">
        <v>24</v>
      </c>
      <c r="D14" t="s">
        <v>26</v>
      </c>
      <c r="E14" t="s">
        <v>28</v>
      </c>
    </row>
    <row r="15" spans="1:9">
      <c r="A15">
        <v>2011</v>
      </c>
      <c r="B15" s="30">
        <f>B3/$I$3</f>
        <v>3.7880952380952375</v>
      </c>
      <c r="C15" s="30">
        <f>C3/$I$4</f>
        <v>4.1365497076023381</v>
      </c>
      <c r="D15" s="30">
        <f>D3/$I$5</f>
        <v>3.4975352112676048</v>
      </c>
      <c r="E15" s="30">
        <f>E3/$I$6</f>
        <v>3.7095070422535206</v>
      </c>
    </row>
    <row r="16" spans="1:9">
      <c r="A16">
        <v>2012</v>
      </c>
      <c r="B16" s="30">
        <f t="shared" ref="B16:B18" si="1">B4/$I$3</f>
        <v>3.7880952380952375</v>
      </c>
      <c r="C16" s="30">
        <f t="shared" ref="C16:C18" si="2">C4/$I$4</f>
        <v>3.432456140350876</v>
      </c>
      <c r="D16" s="30">
        <f t="shared" ref="D16:D18" si="3">D4/$I$5</f>
        <v>3.815492957746478</v>
      </c>
      <c r="E16" s="30">
        <f t="shared" ref="E16:E18" si="4">E4/$I$6</f>
        <v>3.815492957746478</v>
      </c>
    </row>
    <row r="17" spans="1:9">
      <c r="A17">
        <v>2013</v>
      </c>
      <c r="B17" s="30">
        <f t="shared" si="1"/>
        <v>4.0952380952380949</v>
      </c>
      <c r="C17" s="30">
        <f t="shared" si="2"/>
        <v>3.6084795321637415</v>
      </c>
      <c r="D17" s="30">
        <f t="shared" si="3"/>
        <v>3.4975352112676048</v>
      </c>
      <c r="E17" s="30">
        <f t="shared" si="4"/>
        <v>3.2855633802816895</v>
      </c>
    </row>
    <row r="18" spans="1:9">
      <c r="A18">
        <v>2014</v>
      </c>
      <c r="B18" s="30">
        <f t="shared" si="1"/>
        <v>3.3785714285714277</v>
      </c>
      <c r="C18" s="30">
        <f t="shared" si="2"/>
        <v>3.8725146198830402</v>
      </c>
      <c r="D18" s="30">
        <f t="shared" si="3"/>
        <v>4.2394366197183091</v>
      </c>
      <c r="E18" s="30">
        <f t="shared" si="4"/>
        <v>4.2394366197183091</v>
      </c>
    </row>
    <row r="21" spans="1:9" ht="15">
      <c r="A21" s="46" t="s">
        <v>65</v>
      </c>
      <c r="B21" s="46"/>
      <c r="C21" s="46"/>
      <c r="D21" s="46"/>
      <c r="E21" s="46"/>
      <c r="F21" s="46"/>
      <c r="G21" s="46"/>
      <c r="H21" s="46"/>
      <c r="I21" s="46"/>
    </row>
    <row r="22" spans="1:9">
      <c r="A22" s="29" t="s">
        <v>61</v>
      </c>
      <c r="B22" s="29" t="s">
        <v>62</v>
      </c>
      <c r="C22" s="29" t="s">
        <v>63</v>
      </c>
      <c r="D22" s="29" t="s">
        <v>64</v>
      </c>
    </row>
    <row r="23" spans="1:9">
      <c r="A23" s="29">
        <v>1.2</v>
      </c>
      <c r="B23" s="29">
        <f>A23</f>
        <v>1.2</v>
      </c>
      <c r="C23" s="29">
        <f>A23</f>
        <v>1.2</v>
      </c>
      <c r="D23" s="26">
        <f>A23</f>
        <v>1.2</v>
      </c>
    </row>
    <row r="24" spans="1:9">
      <c r="A24" s="29">
        <v>0.9</v>
      </c>
      <c r="B24" s="29">
        <f>0.5*A23+(1-0.5)*B23</f>
        <v>1.2</v>
      </c>
      <c r="C24" s="29">
        <f>1*A23+(1-1)*B23</f>
        <v>1.2</v>
      </c>
      <c r="D24" s="26">
        <f>0*A23+(1-0)*B23</f>
        <v>1.2</v>
      </c>
    </row>
    <row r="25" spans="1:9">
      <c r="A25" s="29">
        <v>0.7</v>
      </c>
      <c r="B25" s="29">
        <f t="shared" ref="B25:B26" si="5">0.5*A24+(1-0.5)*B24</f>
        <v>1.05</v>
      </c>
      <c r="C25" s="29">
        <f t="shared" ref="C25:C26" si="6">1*A24+(1-1)*B24</f>
        <v>0.9</v>
      </c>
      <c r="D25" s="26">
        <f t="shared" ref="D25:D26" si="7">0*A24+(1-0)*B24</f>
        <v>1.2</v>
      </c>
    </row>
    <row r="26" spans="1:9">
      <c r="A26" s="29">
        <v>1.3</v>
      </c>
      <c r="B26" s="29">
        <f t="shared" si="5"/>
        <v>0.875</v>
      </c>
      <c r="C26" s="29">
        <f t="shared" si="6"/>
        <v>0.7</v>
      </c>
      <c r="D26" s="26">
        <f t="shared" si="7"/>
        <v>1.05</v>
      </c>
    </row>
    <row r="28" spans="1:9" ht="15">
      <c r="A28" s="46" t="s">
        <v>66</v>
      </c>
      <c r="B28" s="46"/>
      <c r="C28" s="46"/>
      <c r="D28" s="46"/>
      <c r="E28" s="46"/>
      <c r="F28" s="46"/>
      <c r="G28" s="46"/>
      <c r="H28" s="46"/>
      <c r="I28" s="46"/>
    </row>
    <row r="29" spans="1:9">
      <c r="A29" s="29" t="s">
        <v>61</v>
      </c>
      <c r="B29" s="29" t="s">
        <v>67</v>
      </c>
      <c r="C29" s="29" t="s">
        <v>68</v>
      </c>
      <c r="D29" s="29" t="s">
        <v>69</v>
      </c>
      <c r="E29" s="29"/>
    </row>
    <row r="30" spans="1:9">
      <c r="A30" s="29">
        <v>64</v>
      </c>
      <c r="B30" s="29">
        <f>A30</f>
        <v>64</v>
      </c>
      <c r="C30" s="29">
        <f>A31-A30</f>
        <v>18</v>
      </c>
      <c r="D30" s="29">
        <v>0</v>
      </c>
      <c r="E30" s="29"/>
    </row>
    <row r="31" spans="1:9">
      <c r="A31" s="29">
        <v>82</v>
      </c>
      <c r="B31" s="29">
        <f>0.5*A31+(1-0.5)*(B30+C30)</f>
        <v>82</v>
      </c>
      <c r="C31" s="29">
        <f>0.5*(B31-B30)+(1-0.5)*C30</f>
        <v>18</v>
      </c>
      <c r="D31" s="29">
        <f>B31+C31</f>
        <v>100</v>
      </c>
      <c r="E31" s="29"/>
    </row>
    <row r="32" spans="1:9">
      <c r="A32" s="29">
        <v>92</v>
      </c>
      <c r="B32" s="29">
        <f t="shared" ref="B32:B34" si="8">0.5*A32+(1-0.5)*(B31+C31)</f>
        <v>96</v>
      </c>
      <c r="C32" s="29">
        <f t="shared" ref="C32:C34" si="9">0.5*(B32-B31)+(1-0.5)*C31</f>
        <v>16</v>
      </c>
      <c r="D32" s="29">
        <f t="shared" ref="D32:D34" si="10">B32+C32</f>
        <v>112</v>
      </c>
      <c r="E32" s="29"/>
    </row>
    <row r="33" spans="1:5">
      <c r="A33" s="29">
        <v>95</v>
      </c>
      <c r="B33" s="29">
        <f t="shared" si="8"/>
        <v>103.5</v>
      </c>
      <c r="C33" s="29">
        <f t="shared" si="9"/>
        <v>11.75</v>
      </c>
      <c r="D33" s="29">
        <f t="shared" si="10"/>
        <v>115.25</v>
      </c>
      <c r="E33" s="29"/>
    </row>
    <row r="34" spans="1:5">
      <c r="A34" s="29">
        <v>106</v>
      </c>
      <c r="B34" s="29">
        <f t="shared" si="8"/>
        <v>110.625</v>
      </c>
      <c r="C34" s="29">
        <f t="shared" si="9"/>
        <v>9.4375</v>
      </c>
      <c r="D34" s="29">
        <f t="shared" si="10"/>
        <v>120.0625</v>
      </c>
      <c r="E34" s="29"/>
    </row>
  </sheetData>
  <mergeCells count="5">
    <mergeCell ref="G3:G6"/>
    <mergeCell ref="A1:I1"/>
    <mergeCell ref="A12:I12"/>
    <mergeCell ref="A21:I21"/>
    <mergeCell ref="A28:I28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7D48-4F91-42E2-9B82-1240E1E85416}">
  <dimension ref="A1:K16"/>
  <sheetViews>
    <sheetView zoomScaleNormal="100" workbookViewId="0">
      <selection activeCell="C8" sqref="C8"/>
    </sheetView>
  </sheetViews>
  <sheetFormatPr defaultRowHeight="14.25"/>
  <sheetData>
    <row r="1" spans="1:11" ht="15">
      <c r="A1" s="46" t="s">
        <v>73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>
      <c r="A2" s="29" t="s">
        <v>70</v>
      </c>
      <c r="B2" s="29"/>
      <c r="C2" s="29" t="s">
        <v>43</v>
      </c>
      <c r="D2" s="29" t="s">
        <v>71</v>
      </c>
      <c r="E2" s="29"/>
      <c r="F2" s="29"/>
      <c r="G2" s="29"/>
      <c r="H2" s="29"/>
      <c r="I2" s="29"/>
      <c r="J2" s="29"/>
      <c r="K2" s="29"/>
    </row>
    <row r="3" spans="1:11">
      <c r="A3" s="29" t="s">
        <v>22</v>
      </c>
      <c r="B3" s="29">
        <v>4.8</v>
      </c>
      <c r="C3" s="29">
        <f>J3/B16</f>
        <v>0.90340136054421794</v>
      </c>
      <c r="D3" s="29">
        <f>B3/C3</f>
        <v>5.3132530120481913</v>
      </c>
      <c r="E3" s="29"/>
      <c r="F3" s="29"/>
      <c r="G3" s="29"/>
      <c r="H3" s="45" t="s">
        <v>72</v>
      </c>
      <c r="I3" s="29" t="s">
        <v>22</v>
      </c>
      <c r="J3" s="31">
        <f>(B3+B7+B11)/3</f>
        <v>5.5333333333333341</v>
      </c>
      <c r="K3" s="29"/>
    </row>
    <row r="4" spans="1:11">
      <c r="A4" s="29" t="s">
        <v>24</v>
      </c>
      <c r="B4" s="29">
        <v>4.0999999999999996</v>
      </c>
      <c r="C4" s="29">
        <f>J4/B16</f>
        <v>0.8108843537414967</v>
      </c>
      <c r="D4" s="29">
        <f t="shared" ref="D4:D14" si="0">B4/C4</f>
        <v>5.0562080536912744</v>
      </c>
      <c r="E4" s="29"/>
      <c r="F4" s="29"/>
      <c r="G4" s="29"/>
      <c r="H4" s="45"/>
      <c r="I4" s="29" t="s">
        <v>24</v>
      </c>
      <c r="J4" s="31">
        <f>(B4+B8+B12)/3</f>
        <v>4.9666666666666668</v>
      </c>
      <c r="K4" s="29"/>
    </row>
    <row r="5" spans="1:11">
      <c r="A5" s="29" t="s">
        <v>26</v>
      </c>
      <c r="B5" s="29">
        <v>6</v>
      </c>
      <c r="C5" s="29">
        <f>J5/B16</f>
        <v>1.1047619047619048</v>
      </c>
      <c r="D5" s="29">
        <f t="shared" si="0"/>
        <v>5.4310344827586201</v>
      </c>
      <c r="E5" s="29"/>
      <c r="F5" s="29"/>
      <c r="G5" s="29"/>
      <c r="H5" s="45"/>
      <c r="I5" s="29" t="s">
        <v>26</v>
      </c>
      <c r="J5" s="31">
        <f>(B5+B9+B13)/3</f>
        <v>6.7666666666666666</v>
      </c>
      <c r="K5" s="29"/>
    </row>
    <row r="6" spans="1:11">
      <c r="A6" s="29" t="s">
        <v>28</v>
      </c>
      <c r="B6" s="29">
        <v>6.5</v>
      </c>
      <c r="C6" s="29">
        <f>J6/B16</f>
        <v>1.1809523809523812</v>
      </c>
      <c r="D6" s="29">
        <f t="shared" si="0"/>
        <v>5.5040322580645151</v>
      </c>
      <c r="E6" s="29"/>
      <c r="F6" s="29"/>
      <c r="G6" s="29"/>
      <c r="H6" s="45"/>
      <c r="I6" s="29" t="s">
        <v>28</v>
      </c>
      <c r="J6" s="31">
        <f>(B6+B10+B14)/3</f>
        <v>7.2333333333333334</v>
      </c>
      <c r="K6" s="29"/>
    </row>
    <row r="7" spans="1:11">
      <c r="A7" s="29" t="s">
        <v>22</v>
      </c>
      <c r="B7" s="29">
        <v>5.8</v>
      </c>
      <c r="C7" s="29">
        <f>J3/B16</f>
        <v>0.90340136054421794</v>
      </c>
      <c r="D7" s="29">
        <f t="shared" si="0"/>
        <v>6.4201807228915646</v>
      </c>
      <c r="E7" s="29"/>
      <c r="F7" s="29"/>
      <c r="G7" s="29"/>
      <c r="H7" s="29"/>
      <c r="I7" s="29"/>
      <c r="J7" s="29"/>
      <c r="K7" s="29"/>
    </row>
    <row r="8" spans="1:11">
      <c r="A8" s="29" t="s">
        <v>24</v>
      </c>
      <c r="B8" s="29">
        <v>5.2</v>
      </c>
      <c r="C8" s="29">
        <f>J4/B16</f>
        <v>0.8108843537414967</v>
      </c>
      <c r="D8" s="29">
        <f t="shared" si="0"/>
        <v>6.4127516778523486</v>
      </c>
      <c r="E8" s="29"/>
      <c r="F8" s="29"/>
      <c r="G8" s="29"/>
      <c r="H8" s="29"/>
      <c r="I8" s="29"/>
      <c r="J8" s="29"/>
      <c r="K8" s="29"/>
    </row>
    <row r="9" spans="1:11">
      <c r="A9" s="29" t="s">
        <v>26</v>
      </c>
      <c r="B9" s="29">
        <v>6.8</v>
      </c>
      <c r="C9" s="29">
        <f>J5/B16</f>
        <v>1.1047619047619048</v>
      </c>
      <c r="D9" s="29">
        <f t="shared" si="0"/>
        <v>6.1551724137931032</v>
      </c>
      <c r="E9" s="29"/>
      <c r="F9" s="29"/>
      <c r="G9" s="29"/>
      <c r="H9" s="29"/>
      <c r="I9" s="45" t="s">
        <v>43</v>
      </c>
      <c r="J9" s="29" t="s">
        <v>22</v>
      </c>
      <c r="K9" s="29">
        <f>J3/B16</f>
        <v>0.90340136054421794</v>
      </c>
    </row>
    <row r="10" spans="1:11">
      <c r="A10" s="29" t="s">
        <v>28</v>
      </c>
      <c r="B10" s="29">
        <v>7.4</v>
      </c>
      <c r="C10" s="29">
        <f>J6/B16</f>
        <v>1.1809523809523812</v>
      </c>
      <c r="D10" s="29">
        <f t="shared" si="0"/>
        <v>6.2661290322580632</v>
      </c>
      <c r="E10" s="29"/>
      <c r="F10" s="29"/>
      <c r="G10" s="29"/>
      <c r="H10" s="29"/>
      <c r="I10" s="45"/>
      <c r="J10" s="29" t="s">
        <v>24</v>
      </c>
      <c r="K10" s="29">
        <f>J4/B16</f>
        <v>0.8108843537414967</v>
      </c>
    </row>
    <row r="11" spans="1:11">
      <c r="A11" s="29" t="s">
        <v>22</v>
      </c>
      <c r="B11" s="29">
        <v>6</v>
      </c>
      <c r="C11" s="29">
        <f>J3/B16</f>
        <v>0.90340136054421794</v>
      </c>
      <c r="D11" s="29">
        <f t="shared" si="0"/>
        <v>6.6415662650602387</v>
      </c>
      <c r="E11" s="29"/>
      <c r="F11" s="29"/>
      <c r="G11" s="29"/>
      <c r="H11" s="29"/>
      <c r="I11" s="45"/>
      <c r="J11" s="29" t="s">
        <v>26</v>
      </c>
      <c r="K11" s="29">
        <f>J5/B16</f>
        <v>1.1047619047619048</v>
      </c>
    </row>
    <row r="12" spans="1:11">
      <c r="A12" s="29" t="s">
        <v>24</v>
      </c>
      <c r="B12" s="29">
        <v>5.6</v>
      </c>
      <c r="C12" s="29">
        <f>J4/B16</f>
        <v>0.8108843537414967</v>
      </c>
      <c r="D12" s="29">
        <f t="shared" si="0"/>
        <v>6.9060402684563744</v>
      </c>
      <c r="E12" s="29"/>
      <c r="F12" s="29"/>
      <c r="G12" s="29"/>
      <c r="H12" s="29"/>
      <c r="I12" s="45"/>
      <c r="J12" s="29" t="s">
        <v>28</v>
      </c>
      <c r="K12" s="29">
        <f>J6/B16</f>
        <v>1.1809523809523812</v>
      </c>
    </row>
    <row r="13" spans="1:11">
      <c r="A13" s="29" t="s">
        <v>26</v>
      </c>
      <c r="B13" s="29">
        <v>7.5</v>
      </c>
      <c r="C13" s="29">
        <f>J5/B16</f>
        <v>1.1047619047619048</v>
      </c>
      <c r="D13" s="29">
        <f t="shared" si="0"/>
        <v>6.7887931034482758</v>
      </c>
      <c r="E13" s="29"/>
      <c r="F13" s="29"/>
      <c r="G13" s="29"/>
      <c r="H13" s="29"/>
      <c r="I13" s="29"/>
      <c r="J13" s="29"/>
      <c r="K13" s="29"/>
    </row>
    <row r="14" spans="1:11">
      <c r="A14" s="29" t="s">
        <v>28</v>
      </c>
      <c r="B14" s="29">
        <v>7.8</v>
      </c>
      <c r="C14" s="29">
        <f>J6/B16</f>
        <v>1.1809523809523812</v>
      </c>
      <c r="D14" s="29">
        <f t="shared" si="0"/>
        <v>6.6048387096774182</v>
      </c>
      <c r="E14" s="29"/>
      <c r="F14" s="29"/>
      <c r="G14" s="29"/>
      <c r="H14" s="29"/>
      <c r="I14" s="29"/>
      <c r="J14" s="29"/>
      <c r="K14" s="29"/>
    </row>
    <row r="15" spans="1:1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>
      <c r="A16" s="29"/>
      <c r="B16" s="29">
        <f>AVERAGE(B3:B14)</f>
        <v>6.1249999999999991</v>
      </c>
      <c r="C16" s="29"/>
      <c r="D16" s="29"/>
      <c r="E16" s="29"/>
      <c r="F16" s="29"/>
      <c r="G16" s="29"/>
      <c r="H16" s="29"/>
      <c r="I16" s="29"/>
      <c r="J16" s="29"/>
      <c r="K16" s="29"/>
    </row>
  </sheetData>
  <mergeCells count="3">
    <mergeCell ref="H3:H6"/>
    <mergeCell ref="I9:I12"/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482D-4E60-40E4-A3CA-59F54D2287F5}">
  <dimension ref="A1:F9"/>
  <sheetViews>
    <sheetView workbookViewId="0">
      <selection activeCell="F7" sqref="F7"/>
    </sheetView>
  </sheetViews>
  <sheetFormatPr defaultRowHeight="14.25"/>
  <cols>
    <col min="1" max="16384" width="9" style="26"/>
  </cols>
  <sheetData>
    <row r="1" spans="1:6">
      <c r="A1" s="45" t="s">
        <v>76</v>
      </c>
      <c r="B1" s="45"/>
      <c r="C1" s="45"/>
      <c r="D1" s="45"/>
      <c r="E1" s="45"/>
      <c r="F1" s="45"/>
    </row>
    <row r="2" spans="1:6">
      <c r="A2" s="45" t="s">
        <v>74</v>
      </c>
      <c r="B2" s="26" t="s">
        <v>22</v>
      </c>
      <c r="C2" s="26">
        <v>100</v>
      </c>
    </row>
    <row r="3" spans="1:6">
      <c r="A3" s="45"/>
      <c r="B3" s="26" t="s">
        <v>24</v>
      </c>
      <c r="C3" s="26">
        <v>120</v>
      </c>
    </row>
    <row r="4" spans="1:6">
      <c r="A4" s="45"/>
      <c r="B4" s="26" t="s">
        <v>26</v>
      </c>
      <c r="C4" s="26">
        <v>110</v>
      </c>
    </row>
    <row r="5" spans="1:6">
      <c r="A5" s="45"/>
      <c r="B5" s="26" t="s">
        <v>28</v>
      </c>
      <c r="C5" s="26">
        <v>130</v>
      </c>
    </row>
    <row r="6" spans="1:6">
      <c r="A6" s="45" t="s">
        <v>75</v>
      </c>
      <c r="B6" s="26" t="s">
        <v>22</v>
      </c>
      <c r="C6" s="26">
        <v>110</v>
      </c>
    </row>
    <row r="7" spans="1:6">
      <c r="A7" s="45"/>
      <c r="B7" s="26" t="s">
        <v>24</v>
      </c>
      <c r="C7" s="26">
        <v>130</v>
      </c>
      <c r="E7" s="26">
        <v>5</v>
      </c>
    </row>
    <row r="8" spans="1:6">
      <c r="A8" s="45"/>
      <c r="B8" s="26" t="s">
        <v>26</v>
      </c>
      <c r="C8" s="26">
        <v>120</v>
      </c>
    </row>
    <row r="9" spans="1:6">
      <c r="A9" s="45"/>
      <c r="B9" s="26" t="s">
        <v>28</v>
      </c>
      <c r="C9" s="26">
        <v>140</v>
      </c>
    </row>
  </sheetData>
  <mergeCells count="3">
    <mergeCell ref="A2:A5"/>
    <mergeCell ref="A6:A9"/>
    <mergeCell ref="A1:F1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6F19-5A30-4094-86E7-5F0093F9B624}">
  <dimension ref="A1:K18"/>
  <sheetViews>
    <sheetView workbookViewId="0">
      <selection activeCell="I18" sqref="I18"/>
    </sheetView>
  </sheetViews>
  <sheetFormatPr defaultRowHeight="14.25"/>
  <cols>
    <col min="1" max="1" width="12.375" style="8" bestFit="1" customWidth="1"/>
    <col min="2" max="5" width="11.375" style="8" bestFit="1" customWidth="1"/>
    <col min="6" max="7" width="9" style="8"/>
    <col min="8" max="9" width="10.375" style="8" bestFit="1" customWidth="1"/>
    <col min="10" max="10" width="9.375" style="8" bestFit="1" customWidth="1"/>
    <col min="11" max="11" width="11.375" style="8" bestFit="1" customWidth="1"/>
    <col min="12" max="16384" width="9" style="8"/>
  </cols>
  <sheetData>
    <row r="1" spans="1:11" ht="15">
      <c r="A1" s="8" t="s">
        <v>77</v>
      </c>
      <c r="B1" s="8" t="s">
        <v>22</v>
      </c>
      <c r="C1" s="8" t="s">
        <v>24</v>
      </c>
      <c r="D1" s="8" t="s">
        <v>26</v>
      </c>
      <c r="E1" s="8" t="s">
        <v>28</v>
      </c>
      <c r="H1" s="47" t="s">
        <v>78</v>
      </c>
      <c r="I1" s="47"/>
      <c r="J1" s="47"/>
      <c r="K1" s="47"/>
    </row>
    <row r="2" spans="1:11">
      <c r="A2" s="6">
        <v>2024</v>
      </c>
      <c r="B2" s="8">
        <v>100</v>
      </c>
      <c r="C2" s="8">
        <v>120</v>
      </c>
      <c r="D2" s="8">
        <v>110</v>
      </c>
      <c r="E2" s="8">
        <v>130</v>
      </c>
      <c r="H2" s="8" t="s">
        <v>79</v>
      </c>
      <c r="I2" s="8" t="s">
        <v>80</v>
      </c>
      <c r="J2" s="8" t="s">
        <v>68</v>
      </c>
      <c r="K2" s="8" t="s">
        <v>69</v>
      </c>
    </row>
    <row r="3" spans="1:11">
      <c r="A3" s="6">
        <v>2025</v>
      </c>
      <c r="B3" s="8">
        <v>110</v>
      </c>
      <c r="C3" s="8">
        <v>130</v>
      </c>
      <c r="D3" s="8">
        <v>120</v>
      </c>
      <c r="E3" s="8">
        <v>140</v>
      </c>
      <c r="H3" s="8">
        <v>80</v>
      </c>
      <c r="I3" s="8">
        <f>H3</f>
        <v>80</v>
      </c>
      <c r="J3" s="8">
        <f>0</f>
        <v>0</v>
      </c>
      <c r="K3" s="8">
        <f>H3</f>
        <v>80</v>
      </c>
    </row>
    <row r="4" spans="1:11">
      <c r="A4" s="8" t="s">
        <v>81</v>
      </c>
      <c r="B4" s="8">
        <f>AVERAGE(B2:B3)</f>
        <v>105</v>
      </c>
      <c r="C4" s="8">
        <f t="shared" ref="C4:E4" si="0">AVERAGE(C2:C3)</f>
        <v>125</v>
      </c>
      <c r="D4" s="8">
        <f t="shared" si="0"/>
        <v>115</v>
      </c>
      <c r="E4" s="8">
        <f t="shared" si="0"/>
        <v>135</v>
      </c>
      <c r="H4" s="8">
        <v>82</v>
      </c>
      <c r="I4" s="8">
        <f t="shared" ref="I4:I11" si="1">0.5*(H4)+(1-0.5)*(I3+J3)</f>
        <v>81</v>
      </c>
      <c r="J4" s="8">
        <f t="shared" ref="J4:J11" si="2">0.5*(I4-I3)+(1-0.5)*J3</f>
        <v>0.5</v>
      </c>
      <c r="K4" s="8">
        <f t="shared" ref="K4:K11" si="3">I4+J4</f>
        <v>81.5</v>
      </c>
    </row>
    <row r="5" spans="1:11">
      <c r="H5" s="8">
        <v>84</v>
      </c>
      <c r="I5" s="8">
        <f t="shared" si="1"/>
        <v>82.75</v>
      </c>
      <c r="J5" s="8">
        <f t="shared" si="2"/>
        <v>1.125</v>
      </c>
      <c r="K5" s="8">
        <f t="shared" si="3"/>
        <v>83.875</v>
      </c>
    </row>
    <row r="6" spans="1:11">
      <c r="A6" s="8" t="s">
        <v>82</v>
      </c>
      <c r="B6" s="8">
        <f>AVERAGE(B2:E3)</f>
        <v>120</v>
      </c>
      <c r="H6" s="8">
        <v>89</v>
      </c>
      <c r="I6" s="8">
        <f t="shared" si="1"/>
        <v>86.4375</v>
      </c>
      <c r="J6" s="8">
        <f t="shared" si="2"/>
        <v>2.40625</v>
      </c>
      <c r="K6" s="8">
        <f t="shared" si="3"/>
        <v>88.84375</v>
      </c>
    </row>
    <row r="7" spans="1:11">
      <c r="H7" s="8">
        <v>90</v>
      </c>
      <c r="I7" s="8">
        <f t="shared" si="1"/>
        <v>89.421875</v>
      </c>
      <c r="J7" s="8">
        <f t="shared" si="2"/>
        <v>2.6953125</v>
      </c>
      <c r="K7" s="8">
        <f t="shared" si="3"/>
        <v>92.1171875</v>
      </c>
    </row>
    <row r="8" spans="1:11">
      <c r="A8" s="8" t="s">
        <v>83</v>
      </c>
      <c r="B8" s="8">
        <f>B4/$B$6</f>
        <v>0.875</v>
      </c>
      <c r="H8" s="8">
        <v>91</v>
      </c>
      <c r="I8" s="8">
        <f t="shared" si="1"/>
        <v>91.55859375</v>
      </c>
      <c r="J8" s="8">
        <f t="shared" si="2"/>
        <v>2.416015625</v>
      </c>
      <c r="K8" s="8">
        <f t="shared" si="3"/>
        <v>93.974609375</v>
      </c>
    </row>
    <row r="9" spans="1:11">
      <c r="A9" s="8" t="s">
        <v>84</v>
      </c>
      <c r="B9" s="8">
        <f>C4/B6</f>
        <v>1.0416666666666667</v>
      </c>
      <c r="H9" s="8">
        <v>95</v>
      </c>
      <c r="I9" s="8">
        <f t="shared" si="1"/>
        <v>94.4873046875</v>
      </c>
      <c r="J9" s="8">
        <f t="shared" si="2"/>
        <v>2.67236328125</v>
      </c>
      <c r="K9" s="8">
        <f t="shared" si="3"/>
        <v>97.15966796875</v>
      </c>
    </row>
    <row r="10" spans="1:11">
      <c r="A10" s="8" t="s">
        <v>85</v>
      </c>
      <c r="B10" s="8">
        <f>D4/B6</f>
        <v>0.95833333333333337</v>
      </c>
      <c r="H10" s="8">
        <v>98</v>
      </c>
      <c r="I10" s="8">
        <f t="shared" si="1"/>
        <v>97.579833984375</v>
      </c>
      <c r="J10" s="8">
        <f t="shared" si="2"/>
        <v>2.8824462890625</v>
      </c>
      <c r="K10" s="8">
        <f t="shared" si="3"/>
        <v>100.4622802734375</v>
      </c>
    </row>
    <row r="11" spans="1:11">
      <c r="A11" s="8" t="s">
        <v>86</v>
      </c>
      <c r="B11" s="8">
        <f>E4/B6</f>
        <v>1.125</v>
      </c>
      <c r="H11" s="8">
        <v>99</v>
      </c>
      <c r="I11" s="8">
        <f t="shared" si="1"/>
        <v>99.73114013671875</v>
      </c>
      <c r="J11" s="8">
        <f t="shared" si="2"/>
        <v>2.516876220703125</v>
      </c>
      <c r="K11" s="8">
        <f t="shared" si="3"/>
        <v>102.24801635742188</v>
      </c>
    </row>
    <row r="13" spans="1:11">
      <c r="A13" s="8" t="s">
        <v>87</v>
      </c>
      <c r="B13" s="8">
        <f>SUM(B8:B12)</f>
        <v>4</v>
      </c>
    </row>
    <row r="15" spans="1:11" ht="15">
      <c r="A15" s="47" t="s">
        <v>88</v>
      </c>
      <c r="B15" s="47"/>
      <c r="C15" s="47"/>
      <c r="D15" s="47"/>
      <c r="E15" s="47"/>
    </row>
    <row r="16" spans="1:11">
      <c r="B16" s="8" t="s">
        <v>22</v>
      </c>
      <c r="C16" s="8" t="s">
        <v>24</v>
      </c>
      <c r="D16" s="8" t="s">
        <v>26</v>
      </c>
      <c r="E16" s="8" t="s">
        <v>28</v>
      </c>
    </row>
    <row r="17" spans="1:5">
      <c r="A17" s="6">
        <v>2024</v>
      </c>
      <c r="B17" s="8">
        <f>B2/B8</f>
        <v>114.28571428571429</v>
      </c>
      <c r="C17" s="8">
        <f>C2/B9</f>
        <v>115.19999999999999</v>
      </c>
      <c r="D17" s="8">
        <f>D2/B10</f>
        <v>114.78260869565217</v>
      </c>
      <c r="E17" s="8">
        <f>E2/B11</f>
        <v>115.55555555555556</v>
      </c>
    </row>
    <row r="18" spans="1:5">
      <c r="A18" s="6">
        <v>2025</v>
      </c>
      <c r="B18" s="8">
        <f>B3/B8</f>
        <v>125.71428571428571</v>
      </c>
      <c r="C18" s="8">
        <f>C3/B9</f>
        <v>124.8</v>
      </c>
      <c r="D18" s="8">
        <f>D3/B10</f>
        <v>125.21739130434783</v>
      </c>
      <c r="E18" s="8">
        <f>E3/B11</f>
        <v>124.44444444444444</v>
      </c>
    </row>
  </sheetData>
  <mergeCells count="2">
    <mergeCell ref="H1:K1"/>
    <mergeCell ref="A15:E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1641-1B4A-46DC-8E88-B3C77646F907}">
  <dimension ref="A1:K15"/>
  <sheetViews>
    <sheetView showGridLines="0" zoomScale="167" workbookViewId="0">
      <selection activeCell="F16" sqref="F16"/>
    </sheetView>
  </sheetViews>
  <sheetFormatPr defaultRowHeight="15"/>
  <cols>
    <col min="1" max="1" width="22.25" style="39" bestFit="1" customWidth="1"/>
    <col min="2" max="2" width="5.875" style="39" bestFit="1" customWidth="1"/>
    <col min="3" max="4" width="6.875" style="39" bestFit="1" customWidth="1"/>
    <col min="5" max="5" width="3.875" style="39" bestFit="1" customWidth="1"/>
    <col min="6" max="6" width="6" style="39" bestFit="1" customWidth="1"/>
    <col min="7" max="8" width="13" style="39" bestFit="1" customWidth="1"/>
    <col min="9" max="9" width="6.875" style="39" bestFit="1" customWidth="1"/>
    <col min="10" max="10" width="3.875" style="39" bestFit="1" customWidth="1"/>
    <col min="11" max="11" width="4.875" style="39" bestFit="1" customWidth="1"/>
    <col min="12" max="16384" width="9" style="39"/>
  </cols>
  <sheetData>
    <row r="1" spans="1:11">
      <c r="A1" s="32" t="s">
        <v>0</v>
      </c>
      <c r="B1" s="32" t="s">
        <v>89</v>
      </c>
      <c r="C1" s="32" t="s">
        <v>90</v>
      </c>
      <c r="D1" s="32" t="s">
        <v>91</v>
      </c>
      <c r="E1" s="32" t="s">
        <v>92</v>
      </c>
      <c r="F1" s="32" t="s">
        <v>93</v>
      </c>
      <c r="G1" s="32" t="s">
        <v>94</v>
      </c>
      <c r="H1" s="32" t="s">
        <v>95</v>
      </c>
      <c r="I1" s="32" t="s">
        <v>96</v>
      </c>
      <c r="J1" s="32" t="s">
        <v>97</v>
      </c>
      <c r="K1" s="32" t="s">
        <v>98</v>
      </c>
    </row>
    <row r="2" spans="1:11">
      <c r="A2" s="32">
        <v>2021</v>
      </c>
      <c r="B2" s="32">
        <v>1</v>
      </c>
      <c r="C2" s="32">
        <v>22600</v>
      </c>
      <c r="D2" s="32">
        <f>B2*C2</f>
        <v>22600</v>
      </c>
      <c r="E2" s="32">
        <f>B2^2</f>
        <v>1</v>
      </c>
      <c r="F2" s="40">
        <f>-235*B2+22860</f>
        <v>22625</v>
      </c>
      <c r="G2" s="40">
        <f>(C2-F2)^2</f>
        <v>625</v>
      </c>
      <c r="H2" s="40">
        <f>(C2-$B$9)^2</f>
        <v>198025</v>
      </c>
      <c r="I2" s="41">
        <f>(100/$B$8)*ABS(C2-F2)/C2</f>
        <v>2.2123893805309734E-2</v>
      </c>
      <c r="J2" s="40">
        <f>(1/$B$8)*ABS(C2-F2)</f>
        <v>5</v>
      </c>
      <c r="K2" s="40">
        <f>(1/$B$8)*ABS(C2-F2)^2</f>
        <v>125</v>
      </c>
    </row>
    <row r="3" spans="1:11">
      <c r="A3" s="32">
        <v>2022</v>
      </c>
      <c r="B3" s="32">
        <v>2</v>
      </c>
      <c r="C3" s="32">
        <v>22400</v>
      </c>
      <c r="D3" s="32">
        <f t="shared" ref="D3:D6" si="0">B3*C3</f>
        <v>44800</v>
      </c>
      <c r="E3" s="32">
        <f t="shared" ref="E3:E6" si="1">B3^2</f>
        <v>4</v>
      </c>
      <c r="F3" s="40">
        <f>-235*B3+22860</f>
        <v>22390</v>
      </c>
      <c r="G3" s="40">
        <f t="shared" ref="G3:G6" si="2">(C3-F3)^2</f>
        <v>100</v>
      </c>
      <c r="H3" s="40">
        <f t="shared" ref="H3:H6" si="3">(C3-$B$9)^2</f>
        <v>60025</v>
      </c>
      <c r="I3" s="41">
        <f>(100/$B$8)*ABS(C3-F3)/C3</f>
        <v>8.9285714285714281E-3</v>
      </c>
      <c r="J3" s="40">
        <f>(1/$B$8)*ABS(C3-F3)</f>
        <v>2</v>
      </c>
      <c r="K3" s="40">
        <f>(1/$B$8)*ABS(C3-F3)^2</f>
        <v>20</v>
      </c>
    </row>
    <row r="4" spans="1:11">
      <c r="A4" s="32">
        <v>2023</v>
      </c>
      <c r="B4" s="32">
        <v>3</v>
      </c>
      <c r="C4" s="32">
        <v>22250</v>
      </c>
      <c r="D4" s="32">
        <f t="shared" si="0"/>
        <v>66750</v>
      </c>
      <c r="E4" s="32">
        <f t="shared" si="1"/>
        <v>9</v>
      </c>
      <c r="F4" s="40">
        <f>-235*B4+22860</f>
        <v>22155</v>
      </c>
      <c r="G4" s="40">
        <f t="shared" si="2"/>
        <v>9025</v>
      </c>
      <c r="H4" s="40">
        <f t="shared" si="3"/>
        <v>9025</v>
      </c>
      <c r="I4" s="41">
        <f>(100/$B$8)*ABS(C4-F4)/C4</f>
        <v>8.5393258426966295E-2</v>
      </c>
      <c r="J4" s="40">
        <f>(1/$B$8)*ABS(C4-F4)</f>
        <v>19</v>
      </c>
      <c r="K4" s="40">
        <f>(1/$B$8)*ABS(C4-F4)^2</f>
        <v>1805</v>
      </c>
    </row>
    <row r="5" spans="1:11">
      <c r="A5" s="32">
        <v>2024</v>
      </c>
      <c r="B5" s="32">
        <v>4</v>
      </c>
      <c r="C5" s="32">
        <v>21800</v>
      </c>
      <c r="D5" s="32">
        <f t="shared" si="0"/>
        <v>87200</v>
      </c>
      <c r="E5" s="32">
        <f t="shared" si="1"/>
        <v>16</v>
      </c>
      <c r="F5" s="40">
        <f>-235*B5+22860</f>
        <v>21920</v>
      </c>
      <c r="G5" s="40">
        <f t="shared" si="2"/>
        <v>14400</v>
      </c>
      <c r="H5" s="40">
        <f t="shared" si="3"/>
        <v>126025</v>
      </c>
      <c r="I5" s="41">
        <f>(100/$B$8)*ABS(C5-F5)/C5</f>
        <v>0.11009174311926606</v>
      </c>
      <c r="J5" s="40">
        <f>(1/$B$8)*ABS(C5-F5)</f>
        <v>24</v>
      </c>
      <c r="K5" s="40">
        <f>(1/$B$8)*ABS(C5-F5)^2</f>
        <v>2880</v>
      </c>
    </row>
    <row r="6" spans="1:11">
      <c r="A6" s="32">
        <v>2025</v>
      </c>
      <c r="B6" s="32">
        <v>5</v>
      </c>
      <c r="C6" s="32">
        <v>21725</v>
      </c>
      <c r="D6" s="32">
        <f t="shared" si="0"/>
        <v>108625</v>
      </c>
      <c r="E6" s="32">
        <f t="shared" si="1"/>
        <v>25</v>
      </c>
      <c r="F6" s="40">
        <f>-235*B6+22860</f>
        <v>21685</v>
      </c>
      <c r="G6" s="40">
        <f t="shared" si="2"/>
        <v>1600</v>
      </c>
      <c r="H6" s="40">
        <f t="shared" si="3"/>
        <v>184900</v>
      </c>
      <c r="I6" s="41">
        <f>(100/$B$8)*ABS(C6-F6)/C6</f>
        <v>3.6823935558112773E-2</v>
      </c>
      <c r="J6" s="40">
        <f>(1/$B$8)*ABS(C6-F6)</f>
        <v>8</v>
      </c>
      <c r="K6" s="40">
        <f>(1/$B$8)*ABS(C6-F6)^2</f>
        <v>320</v>
      </c>
    </row>
    <row r="7" spans="1:11">
      <c r="A7" s="33" t="s">
        <v>48</v>
      </c>
      <c r="B7" s="33">
        <f>SUM(B2:B6)</f>
        <v>15</v>
      </c>
      <c r="C7" s="33">
        <f>SUM(C2:C6)</f>
        <v>110775</v>
      </c>
      <c r="D7" s="33">
        <f>SUM(D2:D6)</f>
        <v>329975</v>
      </c>
      <c r="E7" s="33">
        <f>SUM(E2:E6)</f>
        <v>55</v>
      </c>
      <c r="F7" s="42"/>
      <c r="G7" s="42">
        <f>SUM(G2:G6)</f>
        <v>25750</v>
      </c>
      <c r="H7" s="42">
        <f>SUM(H2:H6)</f>
        <v>578000</v>
      </c>
      <c r="I7" s="34">
        <f>SUM(I2:I6)</f>
        <v>0.2633614023382263</v>
      </c>
      <c r="J7" s="42">
        <f>SUM(J2:J6)</f>
        <v>58</v>
      </c>
      <c r="K7" s="42">
        <f>SUM(K2:K6)</f>
        <v>5150</v>
      </c>
    </row>
    <row r="8" spans="1:11">
      <c r="A8" s="35" t="s">
        <v>99</v>
      </c>
      <c r="B8" s="35">
        <f>COUNT(B2:B6)</f>
        <v>5</v>
      </c>
      <c r="C8" s="35"/>
      <c r="D8" s="35"/>
      <c r="E8" s="35"/>
      <c r="F8" s="43"/>
      <c r="G8" s="43"/>
      <c r="H8" s="43"/>
      <c r="I8" s="43"/>
      <c r="J8" s="43"/>
      <c r="K8" s="43"/>
    </row>
    <row r="9" spans="1:11">
      <c r="A9" s="35" t="s">
        <v>100</v>
      </c>
      <c r="B9" s="35">
        <f>AVERAGE(C2:C6)</f>
        <v>22155</v>
      </c>
      <c r="C9" s="36"/>
      <c r="D9" s="36"/>
      <c r="E9" s="36"/>
      <c r="F9" s="43"/>
      <c r="G9" s="43"/>
      <c r="H9" s="43"/>
      <c r="I9" s="43"/>
      <c r="J9" s="43"/>
      <c r="K9" s="43"/>
    </row>
    <row r="10" spans="1:11">
      <c r="A10" s="36" t="s">
        <v>101</v>
      </c>
      <c r="B10" s="36">
        <f>(B8*D7-B7*C7)/(B8*E7-B7^2)</f>
        <v>-235</v>
      </c>
      <c r="C10" s="36"/>
      <c r="D10" s="36"/>
      <c r="E10" s="36"/>
      <c r="F10" s="43" t="s">
        <v>102</v>
      </c>
      <c r="G10" s="43">
        <f>1-(G7/H7)</f>
        <v>0.95544982698961933</v>
      </c>
      <c r="H10" s="43"/>
      <c r="I10" s="43"/>
      <c r="J10" s="43"/>
      <c r="K10" s="43"/>
    </row>
    <row r="11" spans="1:11">
      <c r="A11" s="36" t="s">
        <v>103</v>
      </c>
      <c r="B11" s="36">
        <f>(C7-B10*B7)/(B8)</f>
        <v>22860</v>
      </c>
      <c r="C11" s="36"/>
      <c r="D11" s="36"/>
      <c r="E11" s="36"/>
      <c r="F11" s="43"/>
      <c r="G11" s="43"/>
      <c r="H11" s="43"/>
      <c r="I11" s="43"/>
      <c r="J11" s="43"/>
      <c r="K11" s="43"/>
    </row>
    <row r="12" spans="1:11">
      <c r="A12" s="37"/>
      <c r="B12" s="37"/>
      <c r="C12" s="37"/>
      <c r="D12" s="37"/>
      <c r="E12" s="37"/>
      <c r="F12" s="44"/>
      <c r="G12" s="44"/>
      <c r="H12" s="44"/>
      <c r="I12" s="44"/>
      <c r="J12" s="44"/>
      <c r="K12" s="44"/>
    </row>
    <row r="13" spans="1:11">
      <c r="A13" s="38" t="s">
        <v>104</v>
      </c>
      <c r="B13" s="37"/>
      <c r="C13" s="37"/>
      <c r="D13" s="37"/>
      <c r="E13" s="37"/>
      <c r="F13" s="44"/>
      <c r="G13" s="44"/>
      <c r="H13" s="44"/>
      <c r="I13" s="44"/>
      <c r="J13" s="44"/>
      <c r="K13" s="44"/>
    </row>
    <row r="14" spans="1:11">
      <c r="A14" s="38" t="str">
        <f>"y = "&amp;B11&amp;"+"&amp;B10&amp;"x"</f>
        <v>y = 22860+-235x</v>
      </c>
      <c r="B14" s="37"/>
      <c r="C14" s="37"/>
      <c r="D14" s="37"/>
      <c r="E14" s="37"/>
      <c r="F14" s="44"/>
      <c r="G14" s="44"/>
      <c r="H14" s="44"/>
      <c r="I14" s="44"/>
      <c r="J14" s="44"/>
      <c r="K14" s="44"/>
    </row>
    <row r="15" spans="1:11">
      <c r="A15" s="38" t="str">
        <f>"y = "&amp;B11+B10*(6)</f>
        <v>y = 21450</v>
      </c>
      <c r="B15" s="37"/>
      <c r="C15" s="37"/>
      <c r="D15" s="37"/>
      <c r="E15" s="37"/>
      <c r="F15" s="44"/>
      <c r="G15" s="44"/>
      <c r="H15" s="44"/>
      <c r="I15" s="44"/>
      <c r="J15" s="44"/>
      <c r="K15" s="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BCD3-146A-42A4-83C6-0EE593AA074C}">
  <dimension ref="A1:D9"/>
  <sheetViews>
    <sheetView showGridLines="0" tabSelected="1" zoomScale="148" workbookViewId="0">
      <selection activeCell="J13" sqref="J13"/>
    </sheetView>
  </sheetViews>
  <sheetFormatPr defaultRowHeight="15"/>
  <cols>
    <col min="1" max="16384" width="9" style="39"/>
  </cols>
  <sheetData>
    <row r="1" spans="1:4">
      <c r="A1" s="39" t="s">
        <v>105</v>
      </c>
      <c r="B1" s="39" t="s">
        <v>106</v>
      </c>
    </row>
    <row r="2" spans="1:4">
      <c r="A2" s="39">
        <v>23</v>
      </c>
    </row>
    <row r="3" spans="1:4">
      <c r="A3" s="39">
        <v>25</v>
      </c>
      <c r="B3" s="39">
        <f>A3-A2</f>
        <v>2</v>
      </c>
    </row>
    <row r="4" spans="1:4">
      <c r="A4" s="39">
        <v>27</v>
      </c>
      <c r="B4" s="39">
        <f t="shared" ref="B4:D10" si="0">A4-A3</f>
        <v>2</v>
      </c>
      <c r="C4" s="39">
        <f>B4-B3</f>
        <v>0</v>
      </c>
    </row>
    <row r="5" spans="1:4">
      <c r="A5" s="39">
        <v>32</v>
      </c>
      <c r="B5" s="39">
        <f t="shared" si="0"/>
        <v>5</v>
      </c>
      <c r="C5" s="39">
        <f t="shared" si="0"/>
        <v>3</v>
      </c>
      <c r="D5" s="39">
        <f>C5-C4</f>
        <v>3</v>
      </c>
    </row>
    <row r="6" spans="1:4">
      <c r="A6" s="39">
        <v>33</v>
      </c>
      <c r="B6" s="39">
        <f t="shared" si="0"/>
        <v>1</v>
      </c>
      <c r="C6" s="39">
        <f t="shared" si="0"/>
        <v>-4</v>
      </c>
      <c r="D6" s="39">
        <f t="shared" si="0"/>
        <v>-7</v>
      </c>
    </row>
    <row r="7" spans="1:4">
      <c r="A7" s="39">
        <v>37</v>
      </c>
      <c r="B7" s="39">
        <f t="shared" si="0"/>
        <v>4</v>
      </c>
      <c r="C7" s="39">
        <f t="shared" si="0"/>
        <v>3</v>
      </c>
      <c r="D7" s="39">
        <f t="shared" si="0"/>
        <v>7</v>
      </c>
    </row>
    <row r="8" spans="1:4">
      <c r="A8" s="39">
        <v>42</v>
      </c>
      <c r="B8" s="39">
        <f t="shared" si="0"/>
        <v>5</v>
      </c>
      <c r="C8" s="39">
        <f t="shared" si="0"/>
        <v>1</v>
      </c>
      <c r="D8" s="39">
        <f t="shared" si="0"/>
        <v>-2</v>
      </c>
    </row>
    <row r="9" spans="1:4">
      <c r="A9" s="39">
        <v>45</v>
      </c>
      <c r="B9" s="39">
        <f t="shared" si="0"/>
        <v>3</v>
      </c>
      <c r="C9" s="39">
        <f t="shared" si="0"/>
        <v>-2</v>
      </c>
      <c r="D9" s="39">
        <f t="shared" si="0"/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Moving Average</vt:lpstr>
      <vt:lpstr>Sheet1</vt:lpstr>
      <vt:lpstr>03-09</vt:lpstr>
      <vt:lpstr>04-09</vt:lpstr>
      <vt:lpstr>07-09</vt:lpstr>
      <vt:lpstr>09-09</vt:lpstr>
      <vt:lpstr>10-09</vt:lpstr>
      <vt:lpstr>11-09</vt:lpstr>
      <vt:lpstr>17-09</vt:lpstr>
      <vt:lpstr>21-09</vt:lpstr>
      <vt:lpstr>22-09</vt:lpstr>
      <vt:lpstr>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Vedhanandh</cp:lastModifiedBy>
  <dcterms:modified xsi:type="dcterms:W3CDTF">2026-10-08T09:01:04Z</dcterms:modified>
</cp:coreProperties>
</file>