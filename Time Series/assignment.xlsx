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QF\Semester III\Time Series\"/>
    </mc:Choice>
  </mc:AlternateContent>
  <xr:revisionPtr revIDLastSave="0" documentId="13_ncr:1_{E4B14363-9B2F-4C7A-B66F-021CDFB7EF0C}" xr6:coauthVersionLast="47" xr6:coauthVersionMax="47" xr10:uidLastSave="{00000000-0000-0000-0000-000000000000}"/>
  <bookViews>
    <workbookView xWindow="-120" yWindow="-120" windowWidth="29040" windowHeight="16440" xr2:uid="{7795297F-0A1D-4ADC-B8CB-F5B4DFD5DD6B}"/>
  </bookViews>
  <sheets>
    <sheet name="25MSQUFPY00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17" i="1" l="1"/>
  <c r="BF16" i="1"/>
  <c r="AS17" i="1"/>
  <c r="AU17" i="1"/>
  <c r="AZ14" i="1"/>
  <c r="BC5" i="1"/>
  <c r="BC6" i="1"/>
  <c r="BC7" i="1"/>
  <c r="BC8" i="1"/>
  <c r="BC9" i="1"/>
  <c r="BC10" i="1"/>
  <c r="BC11" i="1"/>
  <c r="BB6" i="1"/>
  <c r="BB5" i="1"/>
  <c r="BA6" i="1"/>
  <c r="BA7" i="1"/>
  <c r="BB7" i="1" s="1"/>
  <c r="BA8" i="1" s="1"/>
  <c r="BA5" i="1"/>
  <c r="BC4" i="1"/>
  <c r="BB4" i="1"/>
  <c r="BA4" i="1"/>
  <c r="AH39" i="1"/>
  <c r="AN12" i="1"/>
  <c r="AO12" i="1"/>
  <c r="AM12" i="1"/>
  <c r="AO4" i="1"/>
  <c r="AO5" i="1"/>
  <c r="AO6" i="1"/>
  <c r="AO7" i="1"/>
  <c r="AO8" i="1"/>
  <c r="AO9" i="1"/>
  <c r="AO10" i="1"/>
  <c r="AO11" i="1"/>
  <c r="AO3" i="1"/>
  <c r="AN4" i="1"/>
  <c r="AN5" i="1"/>
  <c r="AN6" i="1"/>
  <c r="AN7" i="1"/>
  <c r="AN8" i="1"/>
  <c r="AN9" i="1"/>
  <c r="AN10" i="1"/>
  <c r="AN11" i="1"/>
  <c r="AN3" i="1"/>
  <c r="AM4" i="1"/>
  <c r="AM5" i="1"/>
  <c r="AM6" i="1"/>
  <c r="AM7" i="1"/>
  <c r="AM8" i="1"/>
  <c r="AM9" i="1"/>
  <c r="AM10" i="1"/>
  <c r="AM11" i="1"/>
  <c r="AM3" i="1"/>
  <c r="AL5" i="1"/>
  <c r="AL6" i="1"/>
  <c r="AL7" i="1"/>
  <c r="AL8" i="1"/>
  <c r="AL9" i="1"/>
  <c r="AL10" i="1"/>
  <c r="AL11" i="1"/>
  <c r="AL4" i="1"/>
  <c r="AK5" i="1"/>
  <c r="AK6" i="1"/>
  <c r="AK7" i="1"/>
  <c r="AK8" i="1"/>
  <c r="AK9" i="1"/>
  <c r="AK10" i="1"/>
  <c r="AK11" i="1"/>
  <c r="AK4" i="1"/>
  <c r="AJ5" i="1"/>
  <c r="AJ6" i="1"/>
  <c r="AJ7" i="1"/>
  <c r="AJ8" i="1"/>
  <c r="AJ9" i="1"/>
  <c r="AJ10" i="1"/>
  <c r="AJ11" i="1"/>
  <c r="AJ4" i="1"/>
  <c r="AL3" i="1"/>
  <c r="AK3" i="1"/>
  <c r="AJ3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5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6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5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4" i="1"/>
  <c r="P33" i="1"/>
  <c r="Q14" i="1"/>
  <c r="V13" i="1"/>
  <c r="Q22" i="1" s="1"/>
  <c r="U13" i="1"/>
  <c r="T13" i="1"/>
  <c r="V4" i="1"/>
  <c r="V5" i="1"/>
  <c r="V6" i="1"/>
  <c r="V7" i="1"/>
  <c r="V8" i="1"/>
  <c r="V9" i="1"/>
  <c r="V10" i="1"/>
  <c r="V11" i="1"/>
  <c r="V12" i="1"/>
  <c r="V3" i="1"/>
  <c r="U4" i="1"/>
  <c r="U5" i="1"/>
  <c r="U6" i="1"/>
  <c r="U7" i="1"/>
  <c r="U8" i="1"/>
  <c r="U9" i="1"/>
  <c r="U10" i="1"/>
  <c r="U11" i="1"/>
  <c r="U12" i="1"/>
  <c r="U3" i="1"/>
  <c r="T4" i="1"/>
  <c r="W4" i="1" s="1"/>
  <c r="T5" i="1"/>
  <c r="W5" i="1" s="1"/>
  <c r="T6" i="1"/>
  <c r="W6" i="1" s="1"/>
  <c r="T7" i="1"/>
  <c r="W7" i="1" s="1"/>
  <c r="T8" i="1"/>
  <c r="W8" i="1" s="1"/>
  <c r="T9" i="1"/>
  <c r="W9" i="1" s="1"/>
  <c r="T10" i="1"/>
  <c r="W10" i="1" s="1"/>
  <c r="T11" i="1"/>
  <c r="W11" i="1" s="1"/>
  <c r="T12" i="1"/>
  <c r="W12" i="1" s="1"/>
  <c r="T3" i="1"/>
  <c r="W3" i="1" s="1"/>
  <c r="W13" i="1" s="1"/>
  <c r="Q23" i="1" s="1"/>
  <c r="R13" i="1"/>
  <c r="S13" i="1"/>
  <c r="Q13" i="1"/>
  <c r="I12" i="1"/>
  <c r="J13" i="1"/>
  <c r="J12" i="1"/>
  <c r="M4" i="1"/>
  <c r="M5" i="1"/>
  <c r="M6" i="1"/>
  <c r="M7" i="1"/>
  <c r="M8" i="1"/>
  <c r="M9" i="1"/>
  <c r="M10" i="1"/>
  <c r="M11" i="1"/>
  <c r="M3" i="1"/>
  <c r="M12" i="1" s="1"/>
  <c r="K4" i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3" i="1"/>
  <c r="L3" i="1" s="1"/>
  <c r="C9" i="1"/>
  <c r="D8" i="1"/>
  <c r="C8" i="1"/>
  <c r="F4" i="1"/>
  <c r="F5" i="1"/>
  <c r="F6" i="1"/>
  <c r="F7" i="1"/>
  <c r="F3" i="1"/>
  <c r="F8" i="1" s="1"/>
  <c r="E4" i="1"/>
  <c r="E5" i="1"/>
  <c r="E6" i="1"/>
  <c r="E7" i="1"/>
  <c r="E3" i="1"/>
  <c r="E8" i="1" s="1"/>
  <c r="BB8" i="1" l="1"/>
  <c r="BA9" i="1"/>
  <c r="L4" i="1"/>
  <c r="L12" i="1" s="1"/>
  <c r="K12" i="1"/>
  <c r="Q24" i="1"/>
  <c r="C11" i="1"/>
  <c r="C12" i="1" s="1"/>
  <c r="BB9" i="1" l="1"/>
  <c r="BA10" i="1" s="1"/>
  <c r="P26" i="1"/>
  <c r="P28" i="1"/>
  <c r="J15" i="1"/>
  <c r="J16" i="1" s="1"/>
  <c r="B16" i="1"/>
  <c r="B15" i="1"/>
  <c r="BB10" i="1" l="1"/>
  <c r="BA11" i="1"/>
  <c r="BB11" i="1" s="1"/>
  <c r="I20" i="1"/>
  <c r="I19" i="1"/>
</calcChain>
</file>

<file path=xl/sharedStrings.xml><?xml version="1.0" encoding="utf-8"?>
<sst xmlns="http://schemas.openxmlformats.org/spreadsheetml/2006/main" count="144" uniqueCount="91">
  <si>
    <t>Year</t>
  </si>
  <si>
    <t>y (sales)</t>
  </si>
  <si>
    <t>x</t>
  </si>
  <si>
    <t>xy</t>
  </si>
  <si>
    <t>x^2</t>
  </si>
  <si>
    <t>b</t>
  </si>
  <si>
    <t>SUM</t>
  </si>
  <si>
    <t>n</t>
  </si>
  <si>
    <t>a</t>
  </si>
  <si>
    <t>for year 2026 (x = 6)</t>
  </si>
  <si>
    <t>1) Linear Trend</t>
  </si>
  <si>
    <t>Year (x)</t>
  </si>
  <si>
    <t>Sales (y)</t>
  </si>
  <si>
    <t>log (y)</t>
  </si>
  <si>
    <t>x * log (y)</t>
  </si>
  <si>
    <t>for year 10 (x = 10)</t>
  </si>
  <si>
    <t>2) Exponential Trend Model</t>
  </si>
  <si>
    <t>u = 2x-11</t>
  </si>
  <si>
    <t>y</t>
  </si>
  <si>
    <t>u^2</t>
  </si>
  <si>
    <t>u^4</t>
  </si>
  <si>
    <t>uy</t>
  </si>
  <si>
    <t>u^2y</t>
  </si>
  <si>
    <t xml:space="preserve">b = </t>
  </si>
  <si>
    <t xml:space="preserve">c = </t>
  </si>
  <si>
    <t xml:space="preserve">a = </t>
  </si>
  <si>
    <t>since u = 2x-11, we substitue</t>
  </si>
  <si>
    <t>y = 24.1814 - 2.1060x + 0.9216x^2</t>
  </si>
  <si>
    <t>for year 2026 (x = 11)</t>
  </si>
  <si>
    <t>y = 24.1814 - 2.1060(11) + 0.9216(11^2)</t>
  </si>
  <si>
    <t>3) Quadratic Trend Model</t>
  </si>
  <si>
    <t>-</t>
  </si>
  <si>
    <t>3-Year MA</t>
  </si>
  <si>
    <t>5-Year MA</t>
  </si>
  <si>
    <t>7-Year MA (Centered)</t>
  </si>
  <si>
    <t>Double 3-MA</t>
  </si>
  <si>
    <t>4) 3-Year MA, 5-Year MA, 7-Year MA (centered), Double 3-MA</t>
  </si>
  <si>
    <t>Period</t>
  </si>
  <si>
    <t>Stock %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</si>
  <si>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</si>
  <si>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</si>
  <si>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</si>
  <si>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</si>
  <si>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</si>
  <si>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</si>
  <si>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</si>
  <si>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</si>
  <si>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</si>
  <si>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There is no clear long-term upward or downward trend.</t>
  </si>
  <si>
    <t>The values simply oscillate around a mean of approximately 31%.</t>
  </si>
  <si>
    <t>The data exhibits a horizontal (stationary) pattern with random/irregular fluctuations.</t>
  </si>
  <si>
    <t>Alpha = 0.2</t>
  </si>
  <si>
    <t>Alpha = 0.3</t>
  </si>
  <si>
    <t>Alpha = 0.4</t>
  </si>
  <si>
    <t>MAD (Alpha = 0.2)</t>
  </si>
  <si>
    <t>Forecast for t = 2026 Q2</t>
  </si>
  <si>
    <t>5. a), b), c)</t>
  </si>
  <si>
    <t xml:space="preserve">There is no consistent seasonal pattern (the quarters do not consistently peak or trough </t>
  </si>
  <si>
    <t>at the same time each year).</t>
  </si>
  <si>
    <t>Q1</t>
  </si>
  <si>
    <t>Q2</t>
  </si>
  <si>
    <t>Q3</t>
  </si>
  <si>
    <t>Q4</t>
  </si>
  <si>
    <t>AVG</t>
  </si>
  <si>
    <t>Additive SI</t>
  </si>
  <si>
    <t>Total AVG</t>
  </si>
  <si>
    <t>Multiplicative SI</t>
  </si>
  <si>
    <t>Deseasonalised Additive Model</t>
  </si>
  <si>
    <t>Deseasonalised Multiplicative Model</t>
  </si>
  <si>
    <t xml:space="preserve">6. a) Additive and b) Multiplicative model </t>
  </si>
  <si>
    <t>and desasonalised data</t>
  </si>
  <si>
    <t>Sales (Yt)</t>
  </si>
  <si>
    <t>Lt</t>
  </si>
  <si>
    <t>Tt</t>
  </si>
  <si>
    <t>Ft</t>
  </si>
  <si>
    <t>Alpha = 0.5</t>
  </si>
  <si>
    <t>Beta = 0.5</t>
  </si>
  <si>
    <t>to forecast for t = 9 and m = 1</t>
  </si>
  <si>
    <t>7. Forecast using Holt Method. Alpha and Beta = 0.5</t>
  </si>
  <si>
    <t>Lowest MAD is the best which is alpha = 0.4</t>
  </si>
  <si>
    <t>MAD (Alpha = 0.3)</t>
  </si>
  <si>
    <t>MAD (Alpha = 0.4)</t>
  </si>
  <si>
    <t>8. For the following data, try Holt Winters Forecasting for Q1 </t>
  </si>
  <si>
    <t>Levels: L = 175</t>
  </si>
  <si>
    <t>Trend: T = 10</t>
  </si>
  <si>
    <t>m = 1</t>
  </si>
  <si>
    <t>SI Q1</t>
  </si>
  <si>
    <t>SI Q2</t>
  </si>
  <si>
    <t>SI Q3</t>
  </si>
  <si>
    <t>SI Q4</t>
  </si>
  <si>
    <t>for the forecast for next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</si>
</sst>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sz val="11"/>
      <color theme="1"/>
      <name val="Consolas"/>
      <family val="3"/>
    </font>
    <font>
      <b/>
      <sz val="11"/>
      <name val="Consolas"/>
      <family val="3"/>
    </font>
    <font>
      <b/>
      <sz val="11"/>
      <color theme="1"/>
      <name val="Consolas"/>
      <family val="3"/>
    </font>
    <font>
      <sz val="11"/>
      <color rgb="FF000000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2" fontId="2" fillId="0" borderId="2" xfId="0" applyNumberFormat="1" applyFont="1" applyBorder="1" applyAlignment="1">
      <alignment vertical="center" wrapText="1"/>
    </xf>
    <xf numFmtId="2" fontId="2" fillId="0" borderId="2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'25MSQUFPY0002'!$AI$2</c:f>
              <c:strCache>
                <c:ptCount val="1"/>
                <c:pt idx="0">
                  <c:v>Stock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'25MSQUFPY0002'!$AH$3:$AH$11</c:f>
              <c:strCache>
                <c:ptCount val="9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</c:strCache>
            </c:strRef>
          </c:cat>
          <c:val>
            <c:numRef>
              <c:f>'25MSQUFPY0002'!$AI$3:$AI$11</c:f>
              <c:numCache>
                <c:formatCode>0.00</c:formatCode>
                <c:ptCount val="9"/>
                <c:pt idx="0">
                  <c:v>29.8</c:v>
                </c:pt>
                <c:pt idx="1">
                  <c:v>31</c:v>
                </c:pt>
                <c:pt idx="2">
                  <c:v>29.9</c:v>
                </c:pt>
                <c:pt idx="3">
                  <c:v>30.1</c:v>
                </c:pt>
                <c:pt idx="4">
                  <c:v>32.200000000000003</c:v>
                </c:pt>
                <c:pt idx="5">
                  <c:v>31.5</c:v>
                </c:pt>
                <c:pt idx="6">
                  <c:v>32</c:v>
                </c:pt>
                <c:pt idx="7">
                  <c:v>31.9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93-4107-B96B-0239048E7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4410047"/>
        <c:axId val="1843317359"/>
      </c:lineChart>
      <c:catAx>
        <c:axId val="184441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317359"/>
        <c:crosses val="autoZero"/>
        <c:auto val="1"/>
        <c:lblAlgn val="ctr"/>
        <c:lblOffset val="100"/>
        <c:noMultiLvlLbl val="0"/>
      </c:catAx>
      <c:valAx>
        <c:axId val="184331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41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578965</xdr:colOff>
      <xdr:row>16</xdr:row>
      <xdr:rowOff>150984</xdr:rowOff>
    </xdr:from>
    <xdr:ext cx="1224310" cy="409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9698735-AAFC-AF9E-BCC9-A9E4222FE797}"/>
                </a:ext>
              </a:extLst>
            </xdr:cNvPr>
            <xdr:cNvSpPr txBox="1"/>
          </xdr:nvSpPr>
          <xdr:spPr>
            <a:xfrm>
              <a:off x="8597985" y="3240173"/>
              <a:ext cx="1224310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nary>
                      <m:naryPr>
                        <m:chr m:val="∑"/>
                        <m:limLoc m:val="undOvr"/>
                        <m:subHide m:val="on"/>
                        <m:supHide m:val="on"/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/>
                      <m:sup/>
                      <m:e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𝑢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∙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e>
                    </m:nary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𝑏</m:t>
                    </m:r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</m:t>
                    </m:r>
                    <m:nary>
                      <m:naryPr>
                        <m:chr m:val="∑"/>
                        <m:limLoc m:val="undOvr"/>
                        <m:subHide m:val="on"/>
                        <m:supHide m:val="on"/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/>
                      <m:sup/>
                      <m:e>
                        <m:sSup>
                          <m:sSupPr>
                            <m:ctrlP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𝑢</m:t>
                            </m:r>
                          </m:e>
                          <m:sup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9698735-AAFC-AF9E-BCC9-A9E4222FE797}"/>
                </a:ext>
              </a:extLst>
            </xdr:cNvPr>
            <xdr:cNvSpPr txBox="1"/>
          </xdr:nvSpPr>
          <xdr:spPr>
            <a:xfrm>
              <a:off x="8597985" y="3240173"/>
              <a:ext cx="1224310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∑1▒〖𝑢∙𝑦〗=𝑏∙∑1▒𝑢^2 </a:t>
              </a:r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578966</xdr:colOff>
      <xdr:row>18</xdr:row>
      <xdr:rowOff>144549</xdr:rowOff>
    </xdr:from>
    <xdr:ext cx="1983107" cy="409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0D40124-8742-1005-1CB3-7780A327884B}"/>
                </a:ext>
              </a:extLst>
            </xdr:cNvPr>
            <xdr:cNvSpPr txBox="1"/>
          </xdr:nvSpPr>
          <xdr:spPr>
            <a:xfrm>
              <a:off x="9209388" y="3619887"/>
              <a:ext cx="1983107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nary>
                      <m:naryPr>
                        <m:chr m:val="∑"/>
                        <m:limLoc m:val="undOvr"/>
                        <m:subHide m:val="on"/>
                        <m:supHide m:val="on"/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/>
                      <m:sup/>
                      <m:e>
                        <m:sSup>
                          <m:sSupPr>
                            <m:ctrlP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𝑢</m:t>
                            </m:r>
                          </m:e>
                          <m:sup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∙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e>
                    </m:nary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𝑎</m:t>
                    </m:r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</m:t>
                    </m:r>
                    <m:nary>
                      <m:naryPr>
                        <m:chr m:val="∑"/>
                        <m:limLoc m:val="undOvr"/>
                        <m:subHide m:val="on"/>
                        <m:supHide m:val="on"/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/>
                      <m:sup/>
                      <m:e>
                        <m:sSup>
                          <m:sSupPr>
                            <m:ctrlP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𝑢</m:t>
                            </m:r>
                          </m:e>
                          <m:sup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𝑐</m:t>
                    </m:r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</m:t>
                    </m:r>
                    <m:nary>
                      <m:naryPr>
                        <m:chr m:val="∑"/>
                        <m:limLoc m:val="undOvr"/>
                        <m:subHide m:val="on"/>
                        <m:supHide m:val="on"/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/>
                      <m:sup/>
                      <m:e>
                        <m:sSup>
                          <m:sSupPr>
                            <m:ctrlP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𝑢</m:t>
                            </m:r>
                          </m:e>
                          <m:sup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0D40124-8742-1005-1CB3-7780A327884B}"/>
                </a:ext>
              </a:extLst>
            </xdr:cNvPr>
            <xdr:cNvSpPr txBox="1"/>
          </xdr:nvSpPr>
          <xdr:spPr>
            <a:xfrm>
              <a:off x="9209388" y="3619887"/>
              <a:ext cx="1983107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N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∑1▒〖𝑢^2∙𝑦〗=𝑎∙∑1▒𝑢^2 +𝑐∙∑1▒𝑢^4 </a:t>
              </a:r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578965</xdr:colOff>
      <xdr:row>14</xdr:row>
      <xdr:rowOff>118805</xdr:rowOff>
    </xdr:from>
    <xdr:ext cx="1532792" cy="409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CE87750D-9DB6-06C3-B842-FE84A8FE495F}"/>
                </a:ext>
              </a:extLst>
            </xdr:cNvPr>
            <xdr:cNvSpPr txBox="1"/>
          </xdr:nvSpPr>
          <xdr:spPr>
            <a:xfrm>
              <a:off x="8597985" y="2821846"/>
              <a:ext cx="1532792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nary>
                      <m:naryPr>
                        <m:chr m:val="∑"/>
                        <m:limLoc m:val="undOvr"/>
                        <m:subHide m:val="on"/>
                        <m:supHide m:val="on"/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/>
                      <m:sup/>
                      <m:e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𝑌</m:t>
                        </m:r>
                      </m:e>
                    </m:nary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= </m:t>
                    </m:r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𝑛</m:t>
                    </m:r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</m:t>
                    </m:r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𝑎</m:t>
                    </m:r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𝑐</m:t>
                    </m:r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∙</m:t>
                    </m:r>
                    <m:nary>
                      <m:naryPr>
                        <m:chr m:val="∑"/>
                        <m:limLoc m:val="undOvr"/>
                        <m:subHide m:val="on"/>
                        <m:supHide m:val="on"/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/>
                      <m:sup/>
                      <m:e>
                        <m:sSup>
                          <m:sSupPr>
                            <m:ctrlP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𝑢</m:t>
                            </m:r>
                          </m:e>
                          <m:sup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CE87750D-9DB6-06C3-B842-FE84A8FE495F}"/>
                </a:ext>
              </a:extLst>
            </xdr:cNvPr>
            <xdr:cNvSpPr txBox="1"/>
          </xdr:nvSpPr>
          <xdr:spPr>
            <a:xfrm>
              <a:off x="8597985" y="2821846"/>
              <a:ext cx="1532792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∑1▒𝑌  = 𝑛∙𝑎+𝑐∙∑1▒𝑢^2 </a:t>
              </a:r>
              <a:endParaRPr lang="en-IN" sz="1100"/>
            </a:p>
          </xdr:txBody>
        </xdr:sp>
      </mc:Fallback>
    </mc:AlternateContent>
    <xdr:clientData/>
  </xdr:oneCellAnchor>
  <xdr:twoCellAnchor>
    <xdr:from>
      <xdr:col>33</xdr:col>
      <xdr:colOff>0</xdr:colOff>
      <xdr:row>13</xdr:row>
      <xdr:rowOff>0</xdr:rowOff>
    </xdr:from>
    <xdr:to>
      <xdr:col>40</xdr:col>
      <xdr:colOff>292186</xdr:colOff>
      <xdr:row>27</xdr:row>
      <xdr:rowOff>40159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2AABF9-1A33-4342-833A-413C059DE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50</xdr:col>
      <xdr:colOff>0</xdr:colOff>
      <xdr:row>13</xdr:row>
      <xdr:rowOff>0</xdr:rowOff>
    </xdr:from>
    <xdr:ext cx="452303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0624E1D-74AE-43B6-9BE4-001A55951658}"/>
                </a:ext>
              </a:extLst>
            </xdr:cNvPr>
            <xdr:cNvSpPr txBox="1"/>
          </xdr:nvSpPr>
          <xdr:spPr>
            <a:xfrm>
              <a:off x="36784643" y="2456845"/>
              <a:ext cx="452303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𝑌</m:t>
                            </m:r>
                          </m:e>
                        </m:acc>
                      </m:e>
                      <m:sub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sub>
                    </m:sSub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</m:oMath>
                </m:oMathPara>
              </a14:m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0624E1D-74AE-43B6-9BE4-001A55951658}"/>
                </a:ext>
              </a:extLst>
            </xdr:cNvPr>
            <xdr:cNvSpPr txBox="1"/>
          </xdr:nvSpPr>
          <xdr:spPr>
            <a:xfrm>
              <a:off x="36784643" y="2456845"/>
              <a:ext cx="452303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𝑌 ̂_(𝑡+𝑚)=</a:t>
              </a:r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50</xdr:col>
      <xdr:colOff>0</xdr:colOff>
      <xdr:row>14</xdr:row>
      <xdr:rowOff>0</xdr:rowOff>
    </xdr:from>
    <xdr:ext cx="240783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9E6DBA4-50C1-4262-9983-DF9E670AA731}"/>
                </a:ext>
              </a:extLst>
            </xdr:cNvPr>
            <xdr:cNvSpPr txBox="1"/>
          </xdr:nvSpPr>
          <xdr:spPr>
            <a:xfrm>
              <a:off x="36784643" y="2645833"/>
              <a:ext cx="240783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𝐿𝑒𝑣𝑒𝑙</m:t>
                    </m:r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: </m:t>
                    </m:r>
                    <m:sSub>
                      <m:sSubPr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</m:t>
                        </m:r>
                      </m:e>
                      <m:sub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𝛼</m:t>
                    </m:r>
                    <m:sSub>
                      <m:sSubPr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𝑌</m:t>
                        </m:r>
                      </m:e>
                      <m:sub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d>
                      <m:dPr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1−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</m:e>
                    </m:d>
                    <m:d>
                      <m:dPr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</m:e>
                          <m:sub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</m:t>
                            </m:r>
                          </m:sub>
                        </m:sSub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9E6DBA4-50C1-4262-9983-DF9E670AA731}"/>
                </a:ext>
              </a:extLst>
            </xdr:cNvPr>
            <xdr:cNvSpPr txBox="1"/>
          </xdr:nvSpPr>
          <xdr:spPr>
            <a:xfrm>
              <a:off x="36784643" y="2645833"/>
              <a:ext cx="240783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𝐿𝑒𝑣𝑒𝑙: 𝐿_𝑡=𝛼𝑌_𝑡+(1−𝛼)(𝐿_(𝑡−1)+𝑇_(𝑡−1) )</a:t>
              </a:r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50</xdr:col>
      <xdr:colOff>0</xdr:colOff>
      <xdr:row>14</xdr:row>
      <xdr:rowOff>188988</xdr:rowOff>
    </xdr:from>
    <xdr:ext cx="244316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72475E6E-E854-4130-9191-B9811A0332B2}"/>
                </a:ext>
              </a:extLst>
            </xdr:cNvPr>
            <xdr:cNvSpPr txBox="1"/>
          </xdr:nvSpPr>
          <xdr:spPr>
            <a:xfrm>
              <a:off x="36784643" y="2834821"/>
              <a:ext cx="24431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𝑇𝑟𝑒𝑛𝑑</m:t>
                    </m:r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: </m:t>
                    </m:r>
                    <m:sSub>
                      <m:sSubPr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𝛽</m:t>
                    </m:r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</m:t>
                        </m:r>
                      </m:e>
                      <m:sub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</m:t>
                        </m:r>
                      </m:e>
                      <m:sub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b>
                    </m:sSub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)+</m:t>
                    </m:r>
                    <m:d>
                      <m:dPr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1−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𝛽</m:t>
                        </m:r>
                      </m:e>
                    </m:d>
                    <m:sSub>
                      <m:sSubPr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b>
                    </m:sSub>
                  </m:oMath>
                </m:oMathPara>
              </a14:m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72475E6E-E854-4130-9191-B9811A0332B2}"/>
                </a:ext>
              </a:extLst>
            </xdr:cNvPr>
            <xdr:cNvSpPr txBox="1"/>
          </xdr:nvSpPr>
          <xdr:spPr>
            <a:xfrm>
              <a:off x="36784643" y="2834821"/>
              <a:ext cx="24431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𝑇𝑟𝑒𝑛𝑑: 𝑇_𝑡=𝛽(𝐿_𝑡−𝐿_(𝑡−1))+(1−𝛽) 𝑇_(𝑡−1)</a:t>
              </a:r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50</xdr:col>
      <xdr:colOff>0</xdr:colOff>
      <xdr:row>16</xdr:row>
      <xdr:rowOff>0</xdr:rowOff>
    </xdr:from>
    <xdr:ext cx="3024610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6D7D739-CD2D-43B1-A282-B4D0ADE2CD88}"/>
                </a:ext>
              </a:extLst>
            </xdr:cNvPr>
            <xdr:cNvSpPr txBox="1"/>
          </xdr:nvSpPr>
          <xdr:spPr>
            <a:xfrm>
              <a:off x="36784643" y="3023810"/>
              <a:ext cx="3024610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𝐹𝑜𝑟𝑒𝑐𝑎𝑠𝑡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𝑓𝑜𝑟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𝑝𝑒𝑟𝑖𝑜𝑑𝑠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𝑎ℎ𝑒𝑎𝑑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: </m:t>
                        </m:r>
                        <m:acc>
                          <m:accPr>
                            <m:chr m:val="̂"/>
                            <m:ctrlP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𝑌</m:t>
                            </m:r>
                          </m:e>
                        </m:acc>
                      </m:e>
                      <m:sub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sub>
                    </m:sSub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</m:t>
                        </m:r>
                      </m:e>
                      <m:sub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</m:t>
                    </m:r>
                    <m:sSub>
                      <m:sSubPr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6D7D739-CD2D-43B1-A282-B4D0ADE2CD88}"/>
                </a:ext>
              </a:extLst>
            </xdr:cNvPr>
            <xdr:cNvSpPr txBox="1"/>
          </xdr:nvSpPr>
          <xdr:spPr>
            <a:xfrm>
              <a:off x="36784643" y="3023810"/>
              <a:ext cx="3024610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〖𝐹𝑜𝑟𝑒𝑐𝑎𝑠𝑡 𝑓𝑜𝑟 𝑚 𝑝𝑒𝑟𝑖𝑜𝑑𝑠 𝑎ℎ𝑒𝑎𝑑: 𝑌 ̂〗_(𝑡+𝑚)=𝐿_𝑡+𝑚𝑇_𝑡</a:t>
              </a:r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twoCellAnchor>
    <xdr:from>
      <xdr:col>57</xdr:col>
      <xdr:colOff>0</xdr:colOff>
      <xdr:row>13</xdr:row>
      <xdr:rowOff>0</xdr:rowOff>
    </xdr:from>
    <xdr:to>
      <xdr:col>59</xdr:col>
      <xdr:colOff>381604</xdr:colOff>
      <xdr:row>14</xdr:row>
      <xdr:rowOff>121033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19">
              <a:extLst>
                <a:ext uri="{FF2B5EF4-FFF2-40B4-BE49-F238E27FC236}">
                  <a16:creationId xmlns:a16="http://schemas.microsoft.com/office/drawing/2014/main" id="{AE5865F2-605E-41B8-8511-C0153DFB3126}"/>
                </a:ext>
              </a:extLst>
            </xdr:cNvPr>
            <xdr:cNvSpPr txBox="1"/>
          </xdr:nvSpPr>
          <xdr:spPr>
            <a:xfrm>
              <a:off x="42015833" y="2456845"/>
              <a:ext cx="1606247" cy="3100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t">
              <a:spAutoFit/>
            </a:bodyPr>
            <a:lstStyle/>
            <a:p>
              <a:pPr marL="0" marR="0">
                <a:lnSpc>
                  <a:spcPct val="115000"/>
                </a:lnSpc>
                <a:spcAft>
                  <a:spcPts val="800"/>
                </a:spcAft>
                <a:buNone/>
              </a:pPr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IN" sz="11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IN" sz="1100" i="1" kern="100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</m:ctrlPr>
                          </m:accPr>
                          <m:e>
                            <m:r>
                              <a:rPr lang="en-IN" sz="1100" i="1" kern="100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Aptos" panose="020B0004020202020204" pitchFamily="34" charset="0"/>
                                <a:cs typeface="Times New Roman" panose="02020603050405020304" pitchFamily="18" charset="0"/>
                              </a:rPr>
                              <m:t>𝑌</m:t>
                            </m:r>
                          </m:e>
                        </m:acc>
                      </m:e>
                      <m:sub>
                        <m:r>
                          <a:rPr lang="en-IN" sz="11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𝑡</m:t>
                        </m:r>
                        <m:r>
                          <a:rPr lang="en-IN" sz="11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+</m:t>
                        </m:r>
                        <m:r>
                          <a:rPr lang="en-IN" sz="11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𝑚</m:t>
                        </m:r>
                      </m:sub>
                    </m:sSub>
                    <m:r>
                      <a:rPr lang="en-IN" sz="1100" i="1" kern="10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=</m:t>
                    </m:r>
                    <m:sSub>
                      <m:sSubPr>
                        <m:ctrlPr>
                          <a:rPr lang="en-IN" sz="11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n-IN" sz="11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𝐿</m:t>
                        </m:r>
                      </m:e>
                      <m:sub>
                        <m:r>
                          <a:rPr lang="en-IN" sz="11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𝑡</m:t>
                        </m:r>
                      </m:sub>
                    </m:sSub>
                    <m:r>
                      <a:rPr lang="en-IN" sz="1100" i="1" kern="10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en-IN" sz="1100" i="1" kern="10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Aptos" panose="020B0004020202020204" pitchFamily="34" charset="0"/>
                        <a:cs typeface="Times New Roman" panose="02020603050405020304" pitchFamily="18" charset="0"/>
                      </a:rPr>
                      <m:t>𝑚</m:t>
                    </m:r>
                    <m:sSub>
                      <m:sSubPr>
                        <m:ctrlPr>
                          <a:rPr lang="en-IN" sz="11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n-IN" sz="11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𝑇</m:t>
                        </m:r>
                      </m:e>
                      <m:sub>
                        <m:r>
                          <a:rPr lang="en-IN" sz="11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Aptos" panose="020B0004020202020204" pitchFamily="34" charset="0"/>
                            <a:cs typeface="Times New Roman" panose="02020603050405020304" pitchFamily="18" charset="0"/>
                          </a:rPr>
                          <m:t>𝑡</m:t>
                        </m:r>
                      </m:sub>
                    </m:sSub>
                    <m:r>
                      <a:rPr lang="en-IN" sz="1100" i="1" kern="10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+</m:t>
                    </m:r>
                    <m:sSub>
                      <m:sSubPr>
                        <m:ctrlPr>
                          <a:rPr lang="en-IN" sz="11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</m:ctrlPr>
                      </m:sSubPr>
                      <m:e>
                        <m:r>
                          <a:rPr lang="en-IN" sz="11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𝑆</m:t>
                        </m:r>
                      </m:e>
                      <m:sub>
                        <m:r>
                          <a:rPr lang="en-IN" sz="11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𝑡</m:t>
                        </m:r>
                        <m:r>
                          <a:rPr lang="en-IN" sz="11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+</m:t>
                        </m:r>
                        <m:r>
                          <a:rPr lang="en-IN" sz="11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𝑚</m:t>
                        </m:r>
                        <m:r>
                          <a:rPr lang="en-IN" sz="11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−</m:t>
                        </m:r>
                        <m:r>
                          <a:rPr lang="en-IN" sz="11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𝑠</m:t>
                        </m:r>
                      </m:sub>
                    </m:sSub>
                  </m:oMath>
                </m:oMathPara>
              </a14:m>
              <a:endParaRPr lang="en-IN" sz="1200" kern="100">
                <a:effectLst/>
                <a:ea typeface="Aptos" panose="020B0004020202020204" pitchFamily="34" charset="0"/>
                <a:cs typeface="Times New Roman" panose="02020603050405020304" pitchFamily="18" charset="0"/>
              </a:endParaRPr>
            </a:p>
          </xdr:txBody>
        </xdr:sp>
      </mc:Choice>
      <mc:Fallback>
        <xdr:sp macro="" textlink="">
          <xdr:nvSpPr>
            <xdr:cNvPr id="8" name="TextBox 19">
              <a:extLst>
                <a:ext uri="{FF2B5EF4-FFF2-40B4-BE49-F238E27FC236}">
                  <a16:creationId xmlns:a16="http://schemas.microsoft.com/office/drawing/2014/main" id="{AE5865F2-605E-41B8-8511-C0153DFB3126}"/>
                </a:ext>
              </a:extLst>
            </xdr:cNvPr>
            <xdr:cNvSpPr txBox="1"/>
          </xdr:nvSpPr>
          <xdr:spPr>
            <a:xfrm>
              <a:off x="42015833" y="2456845"/>
              <a:ext cx="1606247" cy="3100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t">
              <a:spAutoFit/>
            </a:bodyPr>
            <a:lstStyle/>
            <a:p>
              <a:pPr marL="0" marR="0">
                <a:lnSpc>
                  <a:spcPct val="115000"/>
                </a:lnSpc>
                <a:spcAft>
                  <a:spcPts val="800"/>
                </a:spcAft>
                <a:buNone/>
              </a:pPr>
              <a:r>
                <a:rPr lang="en-IN" sz="11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Aptos" panose="020B0004020202020204" pitchFamily="34" charset="0"/>
                  <a:cs typeface="Times New Roman" panose="02020603050405020304" pitchFamily="18" charset="0"/>
                </a:rPr>
                <a:t>𝑌 ̂_(𝑡+𝑚)=𝐿_𝑡+𝑚𝑇_𝑡</a:t>
              </a:r>
              <a:r>
                <a:rPr lang="en-IN" sz="11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+𝑆_(𝑡+𝑚−𝑠)</a:t>
              </a:r>
              <a:endParaRPr lang="en-IN" sz="1200" kern="100">
                <a:effectLst/>
                <a:ea typeface="Aptos" panose="020B0004020202020204" pitchFamily="34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2B2F6-4AA2-43E8-B9B4-033436ED294A}">
  <dimension ref="B1:BN76"/>
  <sheetViews>
    <sheetView showGridLines="0" tabSelected="1" zoomScale="126" zoomScaleNormal="145" workbookViewId="0">
      <selection activeCell="BL23" sqref="BL23"/>
    </sheetView>
  </sheetViews>
  <sheetFormatPr defaultRowHeight="15" x14ac:dyDescent="0.25"/>
  <cols>
    <col min="1" max="1" width="9.140625" style="3"/>
    <col min="2" max="2" width="6.85546875" style="3" bestFit="1" customWidth="1"/>
    <col min="3" max="3" width="5.7109375" style="3" bestFit="1" customWidth="1"/>
    <col min="4" max="4" width="15.5703125" style="3" customWidth="1"/>
    <col min="5" max="5" width="8.28515625" style="3" bestFit="1" customWidth="1"/>
    <col min="6" max="6" width="6.85546875" style="3" bestFit="1" customWidth="1"/>
    <col min="7" max="7" width="9.140625" style="6"/>
    <col min="8" max="9" width="10.140625" style="3" bestFit="1" customWidth="1"/>
    <col min="10" max="10" width="11.28515625" style="3" bestFit="1" customWidth="1"/>
    <col min="11" max="11" width="9" style="3" bestFit="1" customWidth="1"/>
    <col min="12" max="12" width="13.7109375" style="3" bestFit="1" customWidth="1"/>
    <col min="13" max="13" width="4.42578125" style="3" bestFit="1" customWidth="1"/>
    <col min="14" max="14" width="9.140625" style="6"/>
    <col min="15" max="15" width="9.140625" style="3"/>
    <col min="16" max="17" width="9" style="3" bestFit="1" customWidth="1"/>
    <col min="18" max="18" width="6.7109375" style="3" bestFit="1" customWidth="1"/>
    <col min="19" max="19" width="11.28515625" style="3" bestFit="1" customWidth="1"/>
    <col min="20" max="23" width="9.140625" style="3"/>
    <col min="24" max="24" width="9.140625" style="6"/>
    <col min="25" max="25" width="9.140625" style="3"/>
    <col min="26" max="26" width="6.85546875" style="3" bestFit="1" customWidth="1"/>
    <col min="27" max="27" width="14.28515625" style="3" bestFit="1" customWidth="1"/>
    <col min="28" max="28" width="14.85546875" style="3" bestFit="1" customWidth="1"/>
    <col min="29" max="29" width="13.85546875" style="3" bestFit="1" customWidth="1"/>
    <col min="30" max="30" width="26.85546875" style="3" bestFit="1" customWidth="1"/>
    <col min="31" max="31" width="16.140625" style="3" bestFit="1" customWidth="1"/>
    <col min="32" max="32" width="9.140625" style="6"/>
    <col min="33" max="35" width="9.140625" style="3"/>
    <col min="36" max="38" width="13.7109375" style="3" bestFit="1" customWidth="1"/>
    <col min="39" max="41" width="20.85546875" style="3" bestFit="1" customWidth="1"/>
    <col min="42" max="42" width="9.140625" style="6"/>
    <col min="43" max="43" width="9.140625" style="3"/>
    <col min="44" max="44" width="13.7109375" style="3" bestFit="1" customWidth="1"/>
    <col min="45" max="46" width="9.140625" style="3"/>
    <col min="47" max="47" width="11" style="3" customWidth="1"/>
    <col min="48" max="48" width="9.140625" style="3"/>
    <col min="49" max="49" width="9.140625" style="6"/>
    <col min="50" max="50" width="9.140625" style="3"/>
    <col min="51" max="51" width="14" style="3" bestFit="1" customWidth="1"/>
    <col min="52" max="52" width="12.7109375" style="3" bestFit="1" customWidth="1"/>
    <col min="53" max="53" width="11.5703125" style="3" bestFit="1" customWidth="1"/>
    <col min="54" max="54" width="10.28515625" style="3" bestFit="1" customWidth="1"/>
    <col min="55" max="55" width="11.5703125" style="3" bestFit="1" customWidth="1"/>
    <col min="56" max="56" width="9.140625" style="6"/>
    <col min="57" max="65" width="9.140625" style="3"/>
    <col min="66" max="66" width="9.140625" style="6"/>
    <col min="67" max="16384" width="9.140625" style="3"/>
  </cols>
  <sheetData>
    <row r="1" spans="2:59" x14ac:dyDescent="0.25">
      <c r="B1" s="25" t="s">
        <v>10</v>
      </c>
      <c r="C1" s="25"/>
      <c r="D1" s="25"/>
      <c r="E1" s="25"/>
      <c r="F1" s="25"/>
      <c r="I1" s="25" t="s">
        <v>16</v>
      </c>
      <c r="J1" s="25"/>
      <c r="K1" s="25"/>
      <c r="L1" s="25"/>
      <c r="M1" s="25"/>
      <c r="N1" s="12"/>
      <c r="P1" s="26" t="s">
        <v>30</v>
      </c>
      <c r="Q1" s="26"/>
      <c r="R1" s="26"/>
      <c r="S1" s="26"/>
      <c r="T1" s="26"/>
      <c r="U1" s="26"/>
      <c r="V1" s="26"/>
      <c r="W1" s="26"/>
      <c r="Z1" s="26" t="s">
        <v>36</v>
      </c>
      <c r="AA1" s="26"/>
      <c r="AB1" s="26"/>
      <c r="AC1" s="26"/>
      <c r="AD1" s="26"/>
      <c r="AE1" s="26"/>
      <c r="AH1" s="27" t="s">
        <v>56</v>
      </c>
      <c r="AI1" s="27"/>
      <c r="AJ1" s="27"/>
      <c r="AK1" s="27"/>
      <c r="AL1" s="27"/>
      <c r="AM1" s="27"/>
      <c r="AN1" s="27"/>
      <c r="AO1" s="27"/>
      <c r="AR1" s="24" t="s">
        <v>69</v>
      </c>
      <c r="AS1" s="24"/>
      <c r="AT1" s="24"/>
      <c r="AU1" s="24"/>
      <c r="AV1" s="24"/>
      <c r="AY1" s="24" t="s">
        <v>78</v>
      </c>
      <c r="AZ1" s="24"/>
      <c r="BA1" s="24"/>
      <c r="BB1" s="24"/>
      <c r="BC1" s="24"/>
      <c r="BF1" s="32" t="s">
        <v>82</v>
      </c>
    </row>
    <row r="2" spans="2:59" x14ac:dyDescent="0.25">
      <c r="B2" s="1" t="s">
        <v>0</v>
      </c>
      <c r="C2" s="1" t="s">
        <v>2</v>
      </c>
      <c r="D2" s="1" t="s">
        <v>1</v>
      </c>
      <c r="E2" s="1" t="s">
        <v>3</v>
      </c>
      <c r="F2" s="1" t="s">
        <v>4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4</v>
      </c>
      <c r="P2" s="1" t="s">
        <v>0</v>
      </c>
      <c r="Q2" s="1" t="s">
        <v>2</v>
      </c>
      <c r="R2" s="1" t="s">
        <v>18</v>
      </c>
      <c r="S2" s="1" t="s">
        <v>17</v>
      </c>
      <c r="T2" s="8" t="s">
        <v>19</v>
      </c>
      <c r="U2" s="8" t="s">
        <v>20</v>
      </c>
      <c r="V2" s="8" t="s">
        <v>21</v>
      </c>
      <c r="W2" s="8" t="s">
        <v>22</v>
      </c>
      <c r="Z2" s="1" t="s">
        <v>0</v>
      </c>
      <c r="AA2" s="1" t="s">
        <v>12</v>
      </c>
      <c r="AB2" s="1" t="s">
        <v>32</v>
      </c>
      <c r="AC2" s="1" t="s">
        <v>33</v>
      </c>
      <c r="AD2" s="1" t="s">
        <v>34</v>
      </c>
      <c r="AE2" s="1" t="s">
        <v>35</v>
      </c>
      <c r="AH2" s="18" t="s">
        <v>37</v>
      </c>
      <c r="AI2" s="18" t="s">
        <v>38</v>
      </c>
      <c r="AJ2" s="8" t="s">
        <v>51</v>
      </c>
      <c r="AK2" s="8" t="s">
        <v>52</v>
      </c>
      <c r="AL2" s="8" t="s">
        <v>53</v>
      </c>
      <c r="AM2" s="8" t="s">
        <v>54</v>
      </c>
      <c r="AN2" s="8" t="s">
        <v>80</v>
      </c>
      <c r="AO2" s="8" t="s">
        <v>81</v>
      </c>
      <c r="AR2" s="5" t="s">
        <v>70</v>
      </c>
      <c r="AY2" s="3" t="s">
        <v>75</v>
      </c>
      <c r="AZ2" s="3" t="s">
        <v>76</v>
      </c>
      <c r="BF2" s="33" t="s">
        <v>83</v>
      </c>
      <c r="BG2" s="33"/>
    </row>
    <row r="3" spans="2:59" x14ac:dyDescent="0.25">
      <c r="B3" s="1">
        <v>2021</v>
      </c>
      <c r="C3" s="1">
        <v>1</v>
      </c>
      <c r="D3" s="1">
        <v>79</v>
      </c>
      <c r="E3" s="1">
        <f>C3*D3</f>
        <v>79</v>
      </c>
      <c r="F3" s="1">
        <f>C3^2</f>
        <v>1</v>
      </c>
      <c r="I3" s="8">
        <v>1</v>
      </c>
      <c r="J3" s="8">
        <v>100</v>
      </c>
      <c r="K3" s="9">
        <f>LOG(J3)</f>
        <v>2</v>
      </c>
      <c r="L3" s="9">
        <f>I3*K3</f>
        <v>2</v>
      </c>
      <c r="M3" s="8">
        <f>I3^2</f>
        <v>1</v>
      </c>
      <c r="P3" s="13">
        <v>2016</v>
      </c>
      <c r="Q3" s="13">
        <v>1</v>
      </c>
      <c r="R3" s="13">
        <v>23.1</v>
      </c>
      <c r="S3" s="13">
        <v>-9</v>
      </c>
      <c r="T3" s="8">
        <f>S3^2</f>
        <v>81</v>
      </c>
      <c r="U3" s="8">
        <f>S3^4</f>
        <v>6561</v>
      </c>
      <c r="V3" s="8">
        <f>S3*R3</f>
        <v>-207.9</v>
      </c>
      <c r="W3" s="8">
        <f>T3*R3</f>
        <v>1871.1000000000001</v>
      </c>
      <c r="Z3" s="1">
        <v>1980</v>
      </c>
      <c r="AA3" s="1">
        <v>1</v>
      </c>
      <c r="AB3" s="1" t="s">
        <v>31</v>
      </c>
      <c r="AC3" s="1" t="s">
        <v>31</v>
      </c>
      <c r="AD3" s="1" t="s">
        <v>31</v>
      </c>
      <c r="AE3" s="1" t="s">
        <v>31</v>
      </c>
      <c r="AH3" s="19" t="s">
        <v>39</v>
      </c>
      <c r="AI3" s="20">
        <v>29.8</v>
      </c>
      <c r="AJ3" s="21">
        <f>AI3</f>
        <v>29.8</v>
      </c>
      <c r="AK3" s="21">
        <f>AI3</f>
        <v>29.8</v>
      </c>
      <c r="AL3" s="21">
        <f>AI3</f>
        <v>29.8</v>
      </c>
      <c r="AM3" s="22">
        <f>ABS(AI3-AJ3)</f>
        <v>0</v>
      </c>
      <c r="AN3" s="21">
        <f>ABS(AI3-AK3)</f>
        <v>0</v>
      </c>
      <c r="AO3" s="21">
        <f>ABS(AI3-AL3)</f>
        <v>0</v>
      </c>
      <c r="AR3" s="8" t="s">
        <v>2</v>
      </c>
      <c r="AS3" s="8" t="s">
        <v>59</v>
      </c>
      <c r="AT3" s="8" t="s">
        <v>60</v>
      </c>
      <c r="AU3" s="8" t="s">
        <v>61</v>
      </c>
      <c r="AV3" s="8" t="s">
        <v>62</v>
      </c>
      <c r="AY3" s="1" t="s">
        <v>0</v>
      </c>
      <c r="AZ3" s="1" t="s">
        <v>71</v>
      </c>
      <c r="BA3" s="1" t="s">
        <v>72</v>
      </c>
      <c r="BB3" s="1" t="s">
        <v>73</v>
      </c>
      <c r="BC3" s="1" t="s">
        <v>74</v>
      </c>
      <c r="BF3" s="33" t="s">
        <v>84</v>
      </c>
      <c r="BG3" s="33"/>
    </row>
    <row r="4" spans="2:59" x14ac:dyDescent="0.25">
      <c r="B4" s="1">
        <v>2022</v>
      </c>
      <c r="C4" s="1">
        <v>2</v>
      </c>
      <c r="D4" s="1">
        <v>120</v>
      </c>
      <c r="E4" s="1">
        <f t="shared" ref="E4:E7" si="0">C4*D4</f>
        <v>240</v>
      </c>
      <c r="F4" s="1">
        <f t="shared" ref="F4:F7" si="1">C4^2</f>
        <v>4</v>
      </c>
      <c r="I4" s="8">
        <v>2</v>
      </c>
      <c r="J4" s="8">
        <v>110</v>
      </c>
      <c r="K4" s="9">
        <f t="shared" ref="K4:K11" si="2">LOG(J4)</f>
        <v>2.0413926851582249</v>
      </c>
      <c r="L4" s="9">
        <f t="shared" ref="L4:L11" si="3">I4*K4</f>
        <v>4.0827853703164498</v>
      </c>
      <c r="M4" s="8">
        <f t="shared" ref="M4:M11" si="4">I4^2</f>
        <v>4</v>
      </c>
      <c r="P4" s="13">
        <v>2017</v>
      </c>
      <c r="Q4" s="13">
        <v>2</v>
      </c>
      <c r="R4" s="13">
        <v>21.3</v>
      </c>
      <c r="S4" s="13">
        <v>-7</v>
      </c>
      <c r="T4" s="8">
        <f t="shared" ref="T4:T12" si="5">S4^2</f>
        <v>49</v>
      </c>
      <c r="U4" s="8">
        <f t="shared" ref="U4:U12" si="6">S4^4</f>
        <v>2401</v>
      </c>
      <c r="V4" s="8">
        <f t="shared" ref="V4:V12" si="7">S4*R4</f>
        <v>-149.1</v>
      </c>
      <c r="W4" s="8">
        <f t="shared" ref="W4:W12" si="8">T4*R4</f>
        <v>1043.7</v>
      </c>
      <c r="Z4" s="1">
        <v>1981</v>
      </c>
      <c r="AA4" s="1">
        <v>2</v>
      </c>
      <c r="AB4" s="14">
        <f>AVERAGE(AA3:AA5)</f>
        <v>2</v>
      </c>
      <c r="AC4" s="1" t="s">
        <v>31</v>
      </c>
      <c r="AD4" s="1" t="s">
        <v>31</v>
      </c>
      <c r="AE4" s="1" t="s">
        <v>31</v>
      </c>
      <c r="AH4" s="19" t="s">
        <v>40</v>
      </c>
      <c r="AI4" s="20">
        <v>31</v>
      </c>
      <c r="AJ4" s="21">
        <f>0.2*AI3+(1-0.2)*AJ3</f>
        <v>29.800000000000004</v>
      </c>
      <c r="AK4" s="21">
        <f>0.3*AI3+(1-0.3)*AK3</f>
        <v>29.799999999999997</v>
      </c>
      <c r="AL4" s="21">
        <f>0.4*AI3+(1-0.4)*AL3</f>
        <v>29.8</v>
      </c>
      <c r="AM4" s="22">
        <f t="shared" ref="AM4:AM11" si="9">ABS(AI4-AJ4)</f>
        <v>1.1999999999999957</v>
      </c>
      <c r="AN4" s="21">
        <f t="shared" ref="AN4:AN11" si="10">ABS(AI4-AK4)</f>
        <v>1.2000000000000028</v>
      </c>
      <c r="AO4" s="21">
        <f t="shared" ref="AO4:AO11" si="11">ABS(AI4-AL4)</f>
        <v>1.1999999999999993</v>
      </c>
      <c r="AR4" s="8">
        <v>1</v>
      </c>
      <c r="AS4" s="8">
        <v>4</v>
      </c>
      <c r="AT4" s="8">
        <v>2</v>
      </c>
      <c r="AU4" s="8">
        <v>1</v>
      </c>
      <c r="AV4" s="8">
        <v>5</v>
      </c>
      <c r="AY4" s="1">
        <v>1</v>
      </c>
      <c r="AZ4" s="14">
        <v>16</v>
      </c>
      <c r="BA4" s="14">
        <f>AZ4</f>
        <v>16</v>
      </c>
      <c r="BB4" s="14">
        <f>0</f>
        <v>0</v>
      </c>
      <c r="BC4" s="14">
        <f>BA4+BB4</f>
        <v>16</v>
      </c>
      <c r="BF4" s="8" t="s">
        <v>85</v>
      </c>
      <c r="BG4" s="8"/>
    </row>
    <row r="5" spans="2:59" x14ac:dyDescent="0.25">
      <c r="B5" s="1">
        <v>2023</v>
      </c>
      <c r="C5" s="1">
        <v>3</v>
      </c>
      <c r="D5" s="1">
        <v>138</v>
      </c>
      <c r="E5" s="1">
        <f t="shared" si="0"/>
        <v>414</v>
      </c>
      <c r="F5" s="1">
        <f t="shared" si="1"/>
        <v>9</v>
      </c>
      <c r="I5" s="8">
        <v>3</v>
      </c>
      <c r="J5" s="8">
        <v>121</v>
      </c>
      <c r="K5" s="9">
        <f t="shared" si="2"/>
        <v>2.0827853703164503</v>
      </c>
      <c r="L5" s="9">
        <f t="shared" si="3"/>
        <v>6.2483561109493504</v>
      </c>
      <c r="M5" s="8">
        <f t="shared" si="4"/>
        <v>9</v>
      </c>
      <c r="P5" s="13">
        <v>2018</v>
      </c>
      <c r="Q5" s="13">
        <v>3</v>
      </c>
      <c r="R5" s="13">
        <v>27.4</v>
      </c>
      <c r="S5" s="13">
        <v>-5</v>
      </c>
      <c r="T5" s="8">
        <f t="shared" si="5"/>
        <v>25</v>
      </c>
      <c r="U5" s="8">
        <f t="shared" si="6"/>
        <v>625</v>
      </c>
      <c r="V5" s="8">
        <f t="shared" si="7"/>
        <v>-137</v>
      </c>
      <c r="W5" s="8">
        <f t="shared" si="8"/>
        <v>685</v>
      </c>
      <c r="Z5" s="1">
        <v>1982</v>
      </c>
      <c r="AA5" s="1">
        <v>3</v>
      </c>
      <c r="AB5" s="14">
        <f t="shared" ref="AB5:AB26" si="12">AVERAGE(AA4:AA6)</f>
        <v>3</v>
      </c>
      <c r="AC5" s="14">
        <f>AVERAGE(AA3:AA7)</f>
        <v>3</v>
      </c>
      <c r="AD5" s="14" t="s">
        <v>31</v>
      </c>
      <c r="AE5" s="14">
        <f>AVERAGE(AB4:AB6)</f>
        <v>3</v>
      </c>
      <c r="AH5" s="19" t="s">
        <v>41</v>
      </c>
      <c r="AI5" s="20">
        <v>29.9</v>
      </c>
      <c r="AJ5" s="21">
        <f t="shared" ref="AJ5:AJ11" si="13">0.2*AI4+(1-0.2)*AJ4</f>
        <v>30.040000000000003</v>
      </c>
      <c r="AK5" s="21">
        <f t="shared" ref="AK5:AK11" si="14">0.3*AI4+(1-0.3)*AK4</f>
        <v>30.159999999999997</v>
      </c>
      <c r="AL5" s="21">
        <f t="shared" ref="AL5:AL11" si="15">0.4*AI4+(1-0.4)*AL4</f>
        <v>30.28</v>
      </c>
      <c r="AM5" s="22">
        <f t="shared" si="9"/>
        <v>0.14000000000000412</v>
      </c>
      <c r="AN5" s="21">
        <f t="shared" si="10"/>
        <v>0.25999999999999801</v>
      </c>
      <c r="AO5" s="21">
        <f t="shared" si="11"/>
        <v>0.38000000000000256</v>
      </c>
      <c r="AR5" s="8">
        <v>2</v>
      </c>
      <c r="AS5" s="8">
        <v>6</v>
      </c>
      <c r="AT5" s="8">
        <v>4</v>
      </c>
      <c r="AU5" s="8">
        <v>4</v>
      </c>
      <c r="AV5" s="8">
        <v>14</v>
      </c>
      <c r="AY5" s="1">
        <v>2</v>
      </c>
      <c r="AZ5" s="14">
        <v>17</v>
      </c>
      <c r="BA5" s="14">
        <f>0.5*AZ5+(1-0.5)*(BA4+BB4)</f>
        <v>16.5</v>
      </c>
      <c r="BB5" s="14">
        <f>0.5*(BA5-BA4)+(1-0.5)*BB4</f>
        <v>0.25</v>
      </c>
      <c r="BC5" s="14">
        <f t="shared" ref="BC5:BC11" si="16">BA5+BB5</f>
        <v>16.75</v>
      </c>
      <c r="BF5" s="8" t="s">
        <v>86</v>
      </c>
      <c r="BG5" s="8">
        <v>-5</v>
      </c>
    </row>
    <row r="6" spans="2:59" x14ac:dyDescent="0.25">
      <c r="B6" s="1">
        <v>2024</v>
      </c>
      <c r="C6" s="1">
        <v>4</v>
      </c>
      <c r="D6" s="1">
        <v>184</v>
      </c>
      <c r="E6" s="1">
        <f t="shared" si="0"/>
        <v>736</v>
      </c>
      <c r="F6" s="1">
        <f t="shared" si="1"/>
        <v>16</v>
      </c>
      <c r="I6" s="8">
        <v>4</v>
      </c>
      <c r="J6" s="8">
        <v>133</v>
      </c>
      <c r="K6" s="9">
        <f t="shared" si="2"/>
        <v>2.1238516409670858</v>
      </c>
      <c r="L6" s="9">
        <f t="shared" si="3"/>
        <v>8.4954065638683431</v>
      </c>
      <c r="M6" s="8">
        <f t="shared" si="4"/>
        <v>16</v>
      </c>
      <c r="P6" s="13">
        <v>2019</v>
      </c>
      <c r="Q6" s="13">
        <v>4</v>
      </c>
      <c r="R6" s="13">
        <v>34.6</v>
      </c>
      <c r="S6" s="13">
        <v>-3</v>
      </c>
      <c r="T6" s="8">
        <f t="shared" si="5"/>
        <v>9</v>
      </c>
      <c r="U6" s="8">
        <f t="shared" si="6"/>
        <v>81</v>
      </c>
      <c r="V6" s="8">
        <f t="shared" si="7"/>
        <v>-103.80000000000001</v>
      </c>
      <c r="W6" s="8">
        <f t="shared" si="8"/>
        <v>311.40000000000003</v>
      </c>
      <c r="Z6" s="1">
        <v>1983</v>
      </c>
      <c r="AA6" s="1">
        <v>4</v>
      </c>
      <c r="AB6" s="14">
        <f t="shared" si="12"/>
        <v>4</v>
      </c>
      <c r="AC6" s="14">
        <f t="shared" ref="AC6:AC25" si="17">AVERAGE(AA4:AA8)</f>
        <v>3.6</v>
      </c>
      <c r="AD6" s="14">
        <f>AVERAGE(AA3:AA10)</f>
        <v>3</v>
      </c>
      <c r="AE6" s="14">
        <f t="shared" ref="AE6:AE25" si="18">AVERAGE(AB5:AB7)</f>
        <v>3.7777777777777772</v>
      </c>
      <c r="AH6" s="19" t="s">
        <v>42</v>
      </c>
      <c r="AI6" s="20">
        <v>30.1</v>
      </c>
      <c r="AJ6" s="21">
        <f t="shared" si="13"/>
        <v>30.012000000000004</v>
      </c>
      <c r="AK6" s="21">
        <f t="shared" si="14"/>
        <v>30.081999999999994</v>
      </c>
      <c r="AL6" s="21">
        <f t="shared" si="15"/>
        <v>30.128</v>
      </c>
      <c r="AM6" s="22">
        <f t="shared" si="9"/>
        <v>8.7999999999997414E-2</v>
      </c>
      <c r="AN6" s="21">
        <f t="shared" si="10"/>
        <v>1.8000000000007788E-2</v>
      </c>
      <c r="AO6" s="21">
        <f t="shared" si="11"/>
        <v>2.7999999999998693E-2</v>
      </c>
      <c r="AR6" s="8">
        <v>3</v>
      </c>
      <c r="AS6" s="8">
        <v>10</v>
      </c>
      <c r="AT6" s="8">
        <v>3</v>
      </c>
      <c r="AU6" s="8">
        <v>5</v>
      </c>
      <c r="AV6" s="8">
        <v>16</v>
      </c>
      <c r="AY6" s="1">
        <v>3</v>
      </c>
      <c r="AZ6" s="14">
        <v>18</v>
      </c>
      <c r="BA6" s="14">
        <f t="shared" ref="BA6:BA11" si="19">0.5*AZ6+(1-0.5)*(BA5+BB5)</f>
        <v>17.375</v>
      </c>
      <c r="BB6" s="14">
        <f t="shared" ref="BB6:BB11" si="20">0.5*(BA6-BA5)+(1-0.5)*BB5</f>
        <v>0.5625</v>
      </c>
      <c r="BC6" s="14">
        <f t="shared" si="16"/>
        <v>17.9375</v>
      </c>
      <c r="BF6" s="8" t="s">
        <v>87</v>
      </c>
      <c r="BG6" s="8">
        <v>5</v>
      </c>
    </row>
    <row r="7" spans="2:59" x14ac:dyDescent="0.25">
      <c r="B7" s="1">
        <v>2025</v>
      </c>
      <c r="C7" s="1">
        <v>5</v>
      </c>
      <c r="D7" s="1">
        <v>200</v>
      </c>
      <c r="E7" s="1">
        <f t="shared" si="0"/>
        <v>1000</v>
      </c>
      <c r="F7" s="1">
        <f t="shared" si="1"/>
        <v>25</v>
      </c>
      <c r="I7" s="8">
        <v>5</v>
      </c>
      <c r="J7" s="8">
        <v>146</v>
      </c>
      <c r="K7" s="9">
        <f t="shared" si="2"/>
        <v>2.1643528557844371</v>
      </c>
      <c r="L7" s="9">
        <f t="shared" si="3"/>
        <v>10.821764278922185</v>
      </c>
      <c r="M7" s="8">
        <f t="shared" si="4"/>
        <v>25</v>
      </c>
      <c r="P7" s="13">
        <v>2020</v>
      </c>
      <c r="Q7" s="13">
        <v>5</v>
      </c>
      <c r="R7" s="13">
        <v>33.799999999999997</v>
      </c>
      <c r="S7" s="13">
        <v>-1</v>
      </c>
      <c r="T7" s="8">
        <f t="shared" si="5"/>
        <v>1</v>
      </c>
      <c r="U7" s="8">
        <f t="shared" si="6"/>
        <v>1</v>
      </c>
      <c r="V7" s="8">
        <f t="shared" si="7"/>
        <v>-33.799999999999997</v>
      </c>
      <c r="W7" s="8">
        <f t="shared" si="8"/>
        <v>33.799999999999997</v>
      </c>
      <c r="Z7" s="1">
        <v>1984</v>
      </c>
      <c r="AA7" s="1">
        <v>5</v>
      </c>
      <c r="AB7" s="14">
        <f t="shared" si="12"/>
        <v>4.333333333333333</v>
      </c>
      <c r="AC7" s="14">
        <f t="shared" si="17"/>
        <v>3.8</v>
      </c>
      <c r="AD7" s="14">
        <f t="shared" ref="AD7:AD24" si="21">AVERAGE(AA4:AA11)</f>
        <v>3.25</v>
      </c>
      <c r="AE7" s="14">
        <f t="shared" si="18"/>
        <v>4.1111111111111107</v>
      </c>
      <c r="AH7" s="19" t="s">
        <v>43</v>
      </c>
      <c r="AI7" s="20">
        <v>32.200000000000003</v>
      </c>
      <c r="AJ7" s="21">
        <f t="shared" si="13"/>
        <v>30.029600000000006</v>
      </c>
      <c r="AK7" s="21">
        <f t="shared" si="14"/>
        <v>30.087399999999995</v>
      </c>
      <c r="AL7" s="21">
        <f t="shared" si="15"/>
        <v>30.116799999999998</v>
      </c>
      <c r="AM7" s="22">
        <f t="shared" si="9"/>
        <v>2.1703999999999972</v>
      </c>
      <c r="AN7" s="21">
        <f t="shared" si="10"/>
        <v>2.1126000000000076</v>
      </c>
      <c r="AO7" s="21">
        <f t="shared" si="11"/>
        <v>2.083200000000005</v>
      </c>
      <c r="AR7" s="8">
        <v>4</v>
      </c>
      <c r="AS7" s="8">
        <v>12</v>
      </c>
      <c r="AT7" s="8">
        <v>9</v>
      </c>
      <c r="AU7" s="8">
        <v>7</v>
      </c>
      <c r="AV7" s="8">
        <v>22</v>
      </c>
      <c r="AY7" s="1">
        <v>4</v>
      </c>
      <c r="AZ7" s="14">
        <v>19</v>
      </c>
      <c r="BA7" s="14">
        <f t="shared" si="19"/>
        <v>18.46875</v>
      </c>
      <c r="BB7" s="14">
        <f t="shared" si="20"/>
        <v>0.828125</v>
      </c>
      <c r="BC7" s="14">
        <f t="shared" si="16"/>
        <v>19.296875</v>
      </c>
      <c r="BF7" s="8" t="s">
        <v>88</v>
      </c>
      <c r="BG7" s="8">
        <v>-10</v>
      </c>
    </row>
    <row r="8" spans="2:59" x14ac:dyDescent="0.25">
      <c r="B8" s="2" t="s">
        <v>6</v>
      </c>
      <c r="C8" s="2">
        <f>SUM(C3:C7)</f>
        <v>15</v>
      </c>
      <c r="D8" s="2">
        <f>SUM(D3:D7)</f>
        <v>721</v>
      </c>
      <c r="E8" s="2">
        <f>SUM(E3:E7)</f>
        <v>2469</v>
      </c>
      <c r="F8" s="2">
        <f>SUM(F3:F7)</f>
        <v>55</v>
      </c>
      <c r="I8" s="8">
        <v>6</v>
      </c>
      <c r="J8" s="8">
        <v>161</v>
      </c>
      <c r="K8" s="9">
        <f t="shared" si="2"/>
        <v>2.2068258760318495</v>
      </c>
      <c r="L8" s="9">
        <f t="shared" si="3"/>
        <v>13.240955256191096</v>
      </c>
      <c r="M8" s="8">
        <f t="shared" si="4"/>
        <v>36</v>
      </c>
      <c r="P8" s="13">
        <v>2021</v>
      </c>
      <c r="Q8" s="13">
        <v>6</v>
      </c>
      <c r="R8" s="13">
        <v>43.2</v>
      </c>
      <c r="S8" s="13">
        <v>1</v>
      </c>
      <c r="T8" s="8">
        <f t="shared" si="5"/>
        <v>1</v>
      </c>
      <c r="U8" s="8">
        <f t="shared" si="6"/>
        <v>1</v>
      </c>
      <c r="V8" s="8">
        <f t="shared" si="7"/>
        <v>43.2</v>
      </c>
      <c r="W8" s="8">
        <f t="shared" si="8"/>
        <v>43.2</v>
      </c>
      <c r="Z8" s="1">
        <v>1985</v>
      </c>
      <c r="AA8" s="1">
        <v>4</v>
      </c>
      <c r="AB8" s="14">
        <f t="shared" si="12"/>
        <v>4</v>
      </c>
      <c r="AC8" s="14">
        <f t="shared" si="17"/>
        <v>3.6</v>
      </c>
      <c r="AD8" s="14">
        <f t="shared" si="21"/>
        <v>3.5</v>
      </c>
      <c r="AE8" s="14">
        <f t="shared" si="18"/>
        <v>3.7777777777777772</v>
      </c>
      <c r="AH8" s="19" t="s">
        <v>44</v>
      </c>
      <c r="AI8" s="20">
        <v>31.5</v>
      </c>
      <c r="AJ8" s="21">
        <f t="shared" si="13"/>
        <v>30.463680000000007</v>
      </c>
      <c r="AK8" s="21">
        <f t="shared" si="14"/>
        <v>30.721179999999997</v>
      </c>
      <c r="AL8" s="21">
        <f t="shared" si="15"/>
        <v>30.95008</v>
      </c>
      <c r="AM8" s="22">
        <f t="shared" si="9"/>
        <v>1.0363199999999928</v>
      </c>
      <c r="AN8" s="21">
        <f t="shared" si="10"/>
        <v>0.77882000000000318</v>
      </c>
      <c r="AO8" s="21">
        <f t="shared" si="11"/>
        <v>0.54992000000000019</v>
      </c>
      <c r="AR8" s="8">
        <v>5</v>
      </c>
      <c r="AS8" s="8">
        <v>18</v>
      </c>
      <c r="AT8" s="8">
        <v>10</v>
      </c>
      <c r="AU8" s="8">
        <v>13</v>
      </c>
      <c r="AV8" s="8">
        <v>35</v>
      </c>
      <c r="AY8" s="1">
        <v>5</v>
      </c>
      <c r="AZ8" s="14">
        <v>20</v>
      </c>
      <c r="BA8" s="14">
        <f t="shared" si="19"/>
        <v>19.6484375</v>
      </c>
      <c r="BB8" s="14">
        <f t="shared" si="20"/>
        <v>1.00390625</v>
      </c>
      <c r="BC8" s="14">
        <f t="shared" si="16"/>
        <v>20.65234375</v>
      </c>
      <c r="BF8" s="8" t="s">
        <v>89</v>
      </c>
      <c r="BG8" s="8">
        <v>10</v>
      </c>
    </row>
    <row r="9" spans="2:59" x14ac:dyDescent="0.25">
      <c r="B9" s="4" t="s">
        <v>7</v>
      </c>
      <c r="C9" s="4">
        <f>COUNT(C3:C7)</f>
        <v>5</v>
      </c>
      <c r="D9" s="4"/>
      <c r="E9" s="4"/>
      <c r="F9" s="4"/>
      <c r="I9" s="8">
        <v>7</v>
      </c>
      <c r="J9" s="8">
        <v>177</v>
      </c>
      <c r="K9" s="9">
        <f t="shared" si="2"/>
        <v>2.2479732663618068</v>
      </c>
      <c r="L9" s="9">
        <f t="shared" si="3"/>
        <v>15.735812864532647</v>
      </c>
      <c r="M9" s="8">
        <f t="shared" si="4"/>
        <v>49</v>
      </c>
      <c r="P9" s="13">
        <v>2022</v>
      </c>
      <c r="Q9" s="13">
        <v>7</v>
      </c>
      <c r="R9" s="13">
        <v>59.5</v>
      </c>
      <c r="S9" s="13">
        <v>3</v>
      </c>
      <c r="T9" s="8">
        <f t="shared" si="5"/>
        <v>9</v>
      </c>
      <c r="U9" s="8">
        <f t="shared" si="6"/>
        <v>81</v>
      </c>
      <c r="V9" s="8">
        <f t="shared" si="7"/>
        <v>178.5</v>
      </c>
      <c r="W9" s="8">
        <f t="shared" si="8"/>
        <v>535.5</v>
      </c>
      <c r="Z9" s="1">
        <v>1986</v>
      </c>
      <c r="AA9" s="1">
        <v>3</v>
      </c>
      <c r="AB9" s="14">
        <f t="shared" si="12"/>
        <v>3</v>
      </c>
      <c r="AC9" s="14">
        <f t="shared" si="17"/>
        <v>3.4</v>
      </c>
      <c r="AD9" s="14">
        <f t="shared" si="21"/>
        <v>3.75</v>
      </c>
      <c r="AE9" s="14">
        <f t="shared" si="18"/>
        <v>3.2222222222222219</v>
      </c>
      <c r="AH9" s="19" t="s">
        <v>45</v>
      </c>
      <c r="AI9" s="20">
        <v>32</v>
      </c>
      <c r="AJ9" s="21">
        <f t="shared" si="13"/>
        <v>30.670944000000009</v>
      </c>
      <c r="AK9" s="21">
        <f t="shared" si="14"/>
        <v>30.954825999999997</v>
      </c>
      <c r="AL9" s="21">
        <f t="shared" si="15"/>
        <v>31.170048000000001</v>
      </c>
      <c r="AM9" s="22">
        <f t="shared" si="9"/>
        <v>1.3290559999999907</v>
      </c>
      <c r="AN9" s="21">
        <f t="shared" si="10"/>
        <v>1.0451740000000029</v>
      </c>
      <c r="AO9" s="21">
        <f t="shared" si="11"/>
        <v>0.82995199999999869</v>
      </c>
      <c r="AR9" s="3" t="s">
        <v>63</v>
      </c>
      <c r="AS9" s="3">
        <v>10</v>
      </c>
      <c r="AT9" s="3">
        <v>5.6</v>
      </c>
      <c r="AU9" s="3">
        <v>6</v>
      </c>
      <c r="AV9" s="3">
        <v>18.399999999999999</v>
      </c>
      <c r="AY9" s="1">
        <v>6</v>
      </c>
      <c r="AZ9" s="14">
        <v>21</v>
      </c>
      <c r="BA9" s="14">
        <f t="shared" si="19"/>
        <v>20.826171875</v>
      </c>
      <c r="BB9" s="14">
        <f t="shared" si="20"/>
        <v>1.0908203125</v>
      </c>
      <c r="BC9" s="14">
        <f t="shared" si="16"/>
        <v>21.9169921875</v>
      </c>
    </row>
    <row r="10" spans="2:59" x14ac:dyDescent="0.25">
      <c r="I10" s="8">
        <v>8</v>
      </c>
      <c r="J10" s="8">
        <v>195</v>
      </c>
      <c r="K10" s="9">
        <f t="shared" si="2"/>
        <v>2.2900346113625178</v>
      </c>
      <c r="L10" s="9">
        <f t="shared" si="3"/>
        <v>18.320276890900143</v>
      </c>
      <c r="M10" s="8">
        <f t="shared" si="4"/>
        <v>64</v>
      </c>
      <c r="P10" s="13">
        <v>2023</v>
      </c>
      <c r="Q10" s="13">
        <v>8</v>
      </c>
      <c r="R10" s="13">
        <v>64.400000000000006</v>
      </c>
      <c r="S10" s="13">
        <v>5</v>
      </c>
      <c r="T10" s="8">
        <f t="shared" si="5"/>
        <v>25</v>
      </c>
      <c r="U10" s="8">
        <f t="shared" si="6"/>
        <v>625</v>
      </c>
      <c r="V10" s="8">
        <f t="shared" si="7"/>
        <v>322</v>
      </c>
      <c r="W10" s="8">
        <f t="shared" si="8"/>
        <v>1610.0000000000002</v>
      </c>
      <c r="Z10" s="1">
        <v>1987</v>
      </c>
      <c r="AA10" s="1">
        <v>2</v>
      </c>
      <c r="AB10" s="14">
        <f t="shared" si="12"/>
        <v>2.6666666666666665</v>
      </c>
      <c r="AC10" s="14">
        <f t="shared" si="17"/>
        <v>3.2</v>
      </c>
      <c r="AD10" s="14">
        <f t="shared" si="21"/>
        <v>4</v>
      </c>
      <c r="AE10" s="14">
        <f t="shared" si="18"/>
        <v>2.8888888888888888</v>
      </c>
      <c r="AH10" s="19" t="s">
        <v>46</v>
      </c>
      <c r="AI10" s="20">
        <v>31.9</v>
      </c>
      <c r="AJ10" s="21">
        <f t="shared" si="13"/>
        <v>30.936755200000007</v>
      </c>
      <c r="AK10" s="21">
        <f t="shared" si="14"/>
        <v>31.268378199999994</v>
      </c>
      <c r="AL10" s="21">
        <f t="shared" si="15"/>
        <v>31.502028800000001</v>
      </c>
      <c r="AM10" s="22">
        <f t="shared" si="9"/>
        <v>0.96324479999999113</v>
      </c>
      <c r="AN10" s="21">
        <f t="shared" si="10"/>
        <v>0.6316218000000049</v>
      </c>
      <c r="AO10" s="21">
        <f t="shared" si="11"/>
        <v>0.39797119999999708</v>
      </c>
      <c r="AR10" s="3" t="s">
        <v>65</v>
      </c>
      <c r="AS10" s="3">
        <v>10</v>
      </c>
      <c r="AT10" s="23"/>
      <c r="AU10" s="23"/>
      <c r="AV10" s="23"/>
      <c r="AY10" s="1">
        <v>7</v>
      </c>
      <c r="AZ10" s="14">
        <v>23</v>
      </c>
      <c r="BA10" s="14">
        <f t="shared" si="19"/>
        <v>22.45849609375</v>
      </c>
      <c r="BB10" s="14">
        <f t="shared" si="20"/>
        <v>1.361572265625</v>
      </c>
      <c r="BC10" s="14">
        <f t="shared" si="16"/>
        <v>23.820068359375</v>
      </c>
    </row>
    <row r="11" spans="2:59" x14ac:dyDescent="0.25">
      <c r="B11" s="3" t="s">
        <v>5</v>
      </c>
      <c r="C11" s="3">
        <f>(C9*E8-C8*D8)/(C9*F8-C8^2)</f>
        <v>30.6</v>
      </c>
      <c r="I11" s="8">
        <v>9</v>
      </c>
      <c r="J11" s="8">
        <v>214</v>
      </c>
      <c r="K11" s="9">
        <f t="shared" si="2"/>
        <v>2.330413773349191</v>
      </c>
      <c r="L11" s="9">
        <f t="shared" si="3"/>
        <v>20.973723960142721</v>
      </c>
      <c r="M11" s="8">
        <f t="shared" si="4"/>
        <v>81</v>
      </c>
      <c r="P11" s="13">
        <v>2024</v>
      </c>
      <c r="Q11" s="13">
        <v>9</v>
      </c>
      <c r="R11" s="13">
        <v>74.2</v>
      </c>
      <c r="S11" s="13">
        <v>7</v>
      </c>
      <c r="T11" s="8">
        <f t="shared" si="5"/>
        <v>49</v>
      </c>
      <c r="U11" s="8">
        <f t="shared" si="6"/>
        <v>2401</v>
      </c>
      <c r="V11" s="8">
        <f t="shared" si="7"/>
        <v>519.4</v>
      </c>
      <c r="W11" s="8">
        <f t="shared" si="8"/>
        <v>3635.8</v>
      </c>
      <c r="Z11" s="1">
        <v>1988</v>
      </c>
      <c r="AA11" s="1">
        <v>3</v>
      </c>
      <c r="AB11" s="14">
        <f t="shared" si="12"/>
        <v>3</v>
      </c>
      <c r="AC11" s="14">
        <f t="shared" si="17"/>
        <v>3.4</v>
      </c>
      <c r="AD11" s="14">
        <f t="shared" si="21"/>
        <v>4</v>
      </c>
      <c r="AE11" s="14">
        <f t="shared" si="18"/>
        <v>3.2222222222222219</v>
      </c>
      <c r="AH11" s="19" t="s">
        <v>47</v>
      </c>
      <c r="AI11" s="20">
        <v>30</v>
      </c>
      <c r="AJ11" s="21">
        <f t="shared" si="13"/>
        <v>31.129404160000007</v>
      </c>
      <c r="AK11" s="21">
        <f t="shared" si="14"/>
        <v>31.457864739999991</v>
      </c>
      <c r="AL11" s="21">
        <f t="shared" si="15"/>
        <v>31.661217280000002</v>
      </c>
      <c r="AM11" s="22">
        <f t="shared" si="9"/>
        <v>1.1294041600000071</v>
      </c>
      <c r="AN11" s="21">
        <f t="shared" si="10"/>
        <v>1.4578647399999909</v>
      </c>
      <c r="AO11" s="21">
        <f t="shared" si="11"/>
        <v>1.6612172800000025</v>
      </c>
      <c r="AY11" s="1">
        <v>8</v>
      </c>
      <c r="AZ11" s="14">
        <v>22</v>
      </c>
      <c r="BA11" s="14">
        <f t="shared" si="19"/>
        <v>22.9100341796875</v>
      </c>
      <c r="BB11" s="14">
        <f t="shared" si="20"/>
        <v>0.90655517578125</v>
      </c>
      <c r="BC11" s="14">
        <f t="shared" si="16"/>
        <v>23.81658935546875</v>
      </c>
      <c r="BF11" s="5" t="s">
        <v>90</v>
      </c>
    </row>
    <row r="12" spans="2:59" x14ac:dyDescent="0.25">
      <c r="B12" s="3" t="s">
        <v>8</v>
      </c>
      <c r="C12" s="3">
        <f>(D8-C11*C8)/(C9)</f>
        <v>52.4</v>
      </c>
      <c r="H12" s="4" t="s">
        <v>6</v>
      </c>
      <c r="I12" s="4">
        <f>SUM(I3:I11)</f>
        <v>45</v>
      </c>
      <c r="J12" s="4">
        <f>SUM(J3:J11)</f>
        <v>1357</v>
      </c>
      <c r="K12" s="10">
        <f>SUM(K3:K11)</f>
        <v>19.487630079331566</v>
      </c>
      <c r="L12" s="10">
        <f>SUM(L3:L11)</f>
        <v>99.919081295822934</v>
      </c>
      <c r="M12" s="4">
        <f>SUM(M3:M11)</f>
        <v>285</v>
      </c>
      <c r="P12" s="13">
        <v>2025</v>
      </c>
      <c r="Q12" s="13">
        <v>10</v>
      </c>
      <c r="R12" s="13">
        <v>99.3</v>
      </c>
      <c r="S12" s="13">
        <v>9</v>
      </c>
      <c r="T12" s="8">
        <f t="shared" si="5"/>
        <v>81</v>
      </c>
      <c r="U12" s="8">
        <f t="shared" si="6"/>
        <v>6561</v>
      </c>
      <c r="V12" s="8">
        <f t="shared" si="7"/>
        <v>893.69999999999993</v>
      </c>
      <c r="W12" s="8">
        <f t="shared" si="8"/>
        <v>8043.3</v>
      </c>
      <c r="Z12" s="1">
        <v>1989</v>
      </c>
      <c r="AA12" s="1">
        <v>4</v>
      </c>
      <c r="AB12" s="14">
        <f t="shared" si="12"/>
        <v>4</v>
      </c>
      <c r="AC12" s="14">
        <f t="shared" si="17"/>
        <v>4</v>
      </c>
      <c r="AD12" s="14">
        <f t="shared" si="21"/>
        <v>4</v>
      </c>
      <c r="AE12" s="14">
        <f t="shared" si="18"/>
        <v>4</v>
      </c>
      <c r="AM12" s="17">
        <f>SUM(AM3:AM11)/8</f>
        <v>1.007053119999997</v>
      </c>
      <c r="AN12" s="17">
        <f t="shared" ref="AN12:AO12" si="22">SUM(AN3:AN11)/8</f>
        <v>0.93801006750000226</v>
      </c>
      <c r="AO12" s="17">
        <f t="shared" si="22"/>
        <v>0.8912825600000005</v>
      </c>
      <c r="AR12" s="29" t="s">
        <v>64</v>
      </c>
      <c r="AS12" s="29"/>
      <c r="AT12" s="30" t="s">
        <v>66</v>
      </c>
      <c r="AU12" s="31"/>
      <c r="AV12" s="23"/>
    </row>
    <row r="13" spans="2:59" x14ac:dyDescent="0.25">
      <c r="I13" s="4" t="s">
        <v>7</v>
      </c>
      <c r="J13" s="4">
        <f>COUNT(I3:I11)</f>
        <v>9</v>
      </c>
      <c r="P13" s="4" t="s">
        <v>6</v>
      </c>
      <c r="Q13" s="4">
        <f t="shared" ref="Q13:W13" si="23">SUM(Q3:Q12)</f>
        <v>55</v>
      </c>
      <c r="R13" s="4">
        <f t="shared" si="23"/>
        <v>480.79999999999995</v>
      </c>
      <c r="S13" s="4">
        <f t="shared" si="23"/>
        <v>0</v>
      </c>
      <c r="T13" s="4">
        <f t="shared" si="23"/>
        <v>330</v>
      </c>
      <c r="U13" s="4">
        <f t="shared" si="23"/>
        <v>19338</v>
      </c>
      <c r="V13" s="4">
        <f t="shared" si="23"/>
        <v>1325.2</v>
      </c>
      <c r="W13" s="4">
        <f t="shared" si="23"/>
        <v>17812.8</v>
      </c>
      <c r="Z13" s="1">
        <v>1990</v>
      </c>
      <c r="AA13" s="1">
        <v>5</v>
      </c>
      <c r="AB13" s="14">
        <f t="shared" si="12"/>
        <v>5</v>
      </c>
      <c r="AC13" s="14">
        <f t="shared" si="17"/>
        <v>4.5999999999999996</v>
      </c>
      <c r="AD13" s="14">
        <f t="shared" si="21"/>
        <v>4</v>
      </c>
      <c r="AE13" s="14">
        <f t="shared" si="18"/>
        <v>4.7777777777777777</v>
      </c>
      <c r="AR13" s="8" t="s">
        <v>59</v>
      </c>
      <c r="AS13" s="8">
        <v>0</v>
      </c>
      <c r="AT13" s="8" t="s">
        <v>59</v>
      </c>
      <c r="AU13" s="8">
        <v>1</v>
      </c>
      <c r="AV13" s="23"/>
      <c r="AY13" s="5" t="s">
        <v>77</v>
      </c>
    </row>
    <row r="14" spans="2:59" x14ac:dyDescent="0.25">
      <c r="B14" s="5" t="s">
        <v>9</v>
      </c>
      <c r="P14" s="4" t="s">
        <v>7</v>
      </c>
      <c r="Q14" s="4">
        <f>COUNT(Q3:Q12)</f>
        <v>10</v>
      </c>
      <c r="Z14" s="1">
        <v>1991</v>
      </c>
      <c r="AA14" s="1">
        <v>6</v>
      </c>
      <c r="AB14" s="14">
        <f t="shared" si="12"/>
        <v>5.333333333333333</v>
      </c>
      <c r="AC14" s="14">
        <f t="shared" si="17"/>
        <v>4.8</v>
      </c>
      <c r="AD14" s="14">
        <f t="shared" si="21"/>
        <v>4.25</v>
      </c>
      <c r="AE14" s="14">
        <f t="shared" si="18"/>
        <v>5.1111111111111107</v>
      </c>
      <c r="AR14" s="8" t="s">
        <v>60</v>
      </c>
      <c r="AS14" s="8">
        <v>-4.4000000000000004</v>
      </c>
      <c r="AT14" s="8" t="s">
        <v>60</v>
      </c>
      <c r="AU14" s="8">
        <v>0.55999999999999994</v>
      </c>
      <c r="AV14" s="23"/>
      <c r="AZ14" s="3">
        <f>BA11+1*BB11</f>
        <v>23.81658935546875</v>
      </c>
    </row>
    <row r="15" spans="2:59" x14ac:dyDescent="0.25">
      <c r="B15" s="5" t="str">
        <f>"y = "&amp;C12&amp;"+"&amp;C11&amp;"x"</f>
        <v>y = 52.4+30.6x</v>
      </c>
      <c r="I15" s="3" t="s">
        <v>5</v>
      </c>
      <c r="J15" s="7">
        <f>(J13*L12-I12*K12)/(J13*M12-I12^2)</f>
        <v>4.1348848319418291E-2</v>
      </c>
      <c r="Z15" s="1">
        <v>1992</v>
      </c>
      <c r="AA15" s="1">
        <v>5</v>
      </c>
      <c r="AB15" s="14">
        <f t="shared" si="12"/>
        <v>5</v>
      </c>
      <c r="AC15" s="14">
        <f t="shared" si="17"/>
        <v>4.5999999999999996</v>
      </c>
      <c r="AD15" s="14">
        <f t="shared" si="21"/>
        <v>4.5</v>
      </c>
      <c r="AE15" s="14">
        <f t="shared" si="18"/>
        <v>4.7777777777777777</v>
      </c>
      <c r="AR15" s="8" t="s">
        <v>61</v>
      </c>
      <c r="AS15" s="8">
        <v>-4</v>
      </c>
      <c r="AT15" s="8" t="s">
        <v>61</v>
      </c>
      <c r="AU15" s="8">
        <v>0.6</v>
      </c>
      <c r="AV15" s="23"/>
    </row>
    <row r="16" spans="2:59" x14ac:dyDescent="0.25">
      <c r="B16" s="5" t="str">
        <f>"y = "&amp;C12+C11*(6)</f>
        <v>y = 236</v>
      </c>
      <c r="I16" s="3" t="s">
        <v>8</v>
      </c>
      <c r="J16" s="7">
        <f>(K12-J15*I12)/(J13)</f>
        <v>1.9585479894397493</v>
      </c>
      <c r="Z16" s="1">
        <v>1993</v>
      </c>
      <c r="AA16" s="1">
        <v>4</v>
      </c>
      <c r="AB16" s="14">
        <f t="shared" si="12"/>
        <v>4</v>
      </c>
      <c r="AC16" s="14">
        <f t="shared" si="17"/>
        <v>4.4000000000000004</v>
      </c>
      <c r="AD16" s="14">
        <f t="shared" si="21"/>
        <v>4.75</v>
      </c>
      <c r="AE16" s="14">
        <f t="shared" si="18"/>
        <v>4.2222222222222223</v>
      </c>
      <c r="AR16" s="8" t="s">
        <v>62</v>
      </c>
      <c r="AS16" s="8">
        <v>8.3999999999999986</v>
      </c>
      <c r="AT16" s="8" t="s">
        <v>62</v>
      </c>
      <c r="AU16" s="8">
        <v>1.8399999999999999</v>
      </c>
      <c r="AV16" s="23"/>
      <c r="BF16" s="5" t="str">
        <f>"Forecast for Q1 = 175 + (1 X 10) + (-5)"</f>
        <v>Forecast for Q1 = 175 + (1 X 10) + (-5)</v>
      </c>
    </row>
    <row r="17" spans="8:58" x14ac:dyDescent="0.25">
      <c r="Z17" s="1">
        <v>1994</v>
      </c>
      <c r="AA17" s="1">
        <v>3</v>
      </c>
      <c r="AB17" s="14">
        <f t="shared" si="12"/>
        <v>3.6666666666666665</v>
      </c>
      <c r="AC17" s="14">
        <f t="shared" si="17"/>
        <v>4.2</v>
      </c>
      <c r="AD17" s="14">
        <f t="shared" si="21"/>
        <v>5</v>
      </c>
      <c r="AE17" s="14">
        <f t="shared" si="18"/>
        <v>3.8888888888888888</v>
      </c>
      <c r="AR17" s="3" t="s">
        <v>6</v>
      </c>
      <c r="AS17" s="3">
        <f>SUM(AS13:AS16)</f>
        <v>0</v>
      </c>
      <c r="AT17" s="3" t="s">
        <v>63</v>
      </c>
      <c r="AU17" s="3">
        <f>AVERAGE(AU13:AU16)</f>
        <v>1</v>
      </c>
      <c r="AV17" s="23"/>
      <c r="BF17" s="5" t="str">
        <f>"Forecast for Q1 ="&amp;175+(1*10)+(-5)</f>
        <v>Forecast for Q1 =180</v>
      </c>
    </row>
    <row r="18" spans="8:58" x14ac:dyDescent="0.25">
      <c r="H18" s="5"/>
      <c r="I18" s="5" t="s">
        <v>15</v>
      </c>
      <c r="Z18" s="1">
        <v>1995</v>
      </c>
      <c r="AA18" s="1">
        <v>4</v>
      </c>
      <c r="AB18" s="14">
        <f t="shared" si="12"/>
        <v>4</v>
      </c>
      <c r="AC18" s="14">
        <f t="shared" si="17"/>
        <v>4.4000000000000004</v>
      </c>
      <c r="AD18" s="14">
        <f t="shared" si="21"/>
        <v>5</v>
      </c>
      <c r="AE18" s="14">
        <f t="shared" si="18"/>
        <v>4.2222222222222223</v>
      </c>
    </row>
    <row r="19" spans="8:58" x14ac:dyDescent="0.25">
      <c r="H19" s="5"/>
      <c r="I19" s="5" t="str">
        <f>"y = "&amp;ROUNDUP(J16,4)&amp;" + "&amp;ROUNDUP(J15,4)&amp;"x"</f>
        <v>y = 1.9586 + 0.0414x</v>
      </c>
      <c r="Z19" s="1">
        <v>1996</v>
      </c>
      <c r="AA19" s="1">
        <v>5</v>
      </c>
      <c r="AB19" s="14">
        <f t="shared" si="12"/>
        <v>5</v>
      </c>
      <c r="AC19" s="14">
        <f t="shared" si="17"/>
        <v>5</v>
      </c>
      <c r="AD19" s="14">
        <f t="shared" si="21"/>
        <v>5</v>
      </c>
      <c r="AE19" s="14">
        <f t="shared" si="18"/>
        <v>5</v>
      </c>
      <c r="AR19" s="5" t="s">
        <v>67</v>
      </c>
      <c r="AS19" s="23"/>
      <c r="AT19" s="23"/>
      <c r="AU19" s="23"/>
      <c r="AV19" s="23"/>
    </row>
    <row r="20" spans="8:58" x14ac:dyDescent="0.25">
      <c r="H20" s="5"/>
      <c r="I20" s="11" t="str">
        <f>"y = "&amp;ROUNDUP(J16+J15*10,4)</f>
        <v>y = 2.3721</v>
      </c>
      <c r="Z20" s="1">
        <v>1997</v>
      </c>
      <c r="AA20" s="1">
        <v>6</v>
      </c>
      <c r="AB20" s="14">
        <f t="shared" si="12"/>
        <v>6</v>
      </c>
      <c r="AC20" s="14">
        <f t="shared" si="17"/>
        <v>5.6</v>
      </c>
      <c r="AD20" s="14">
        <f t="shared" si="21"/>
        <v>5</v>
      </c>
      <c r="AE20" s="14">
        <f t="shared" si="18"/>
        <v>5.7777777777777777</v>
      </c>
      <c r="AR20" s="8" t="s">
        <v>0</v>
      </c>
      <c r="AS20" s="8" t="s">
        <v>59</v>
      </c>
      <c r="AT20" s="8" t="s">
        <v>60</v>
      </c>
      <c r="AU20" s="8" t="s">
        <v>61</v>
      </c>
      <c r="AV20" s="8" t="s">
        <v>62</v>
      </c>
    </row>
    <row r="21" spans="8:58" x14ac:dyDescent="0.25">
      <c r="Z21" s="1">
        <v>1998</v>
      </c>
      <c r="AA21" s="1">
        <v>7</v>
      </c>
      <c r="AB21" s="14">
        <f t="shared" si="12"/>
        <v>6.333333333333333</v>
      </c>
      <c r="AC21" s="14">
        <f t="shared" si="17"/>
        <v>5.8</v>
      </c>
      <c r="AD21" s="14">
        <f t="shared" si="21"/>
        <v>5.25</v>
      </c>
      <c r="AE21" s="14">
        <f t="shared" si="18"/>
        <v>6.1111111111111107</v>
      </c>
      <c r="AR21" s="8">
        <v>1</v>
      </c>
      <c r="AS21" s="8" t="s">
        <v>31</v>
      </c>
      <c r="AT21" s="21">
        <v>-0.45454545454545453</v>
      </c>
      <c r="AU21" s="21">
        <v>-0.25</v>
      </c>
      <c r="AV21" s="21">
        <v>0.59523809523809534</v>
      </c>
    </row>
    <row r="22" spans="8:58" x14ac:dyDescent="0.25">
      <c r="P22" s="5" t="s">
        <v>23</v>
      </c>
      <c r="Q22" s="3">
        <f>ROUNDUP(V13/T13,4)</f>
        <v>4.0157999999999996</v>
      </c>
      <c r="Z22" s="1">
        <v>1999</v>
      </c>
      <c r="AA22" s="1">
        <v>6</v>
      </c>
      <c r="AB22" s="14">
        <f t="shared" si="12"/>
        <v>6</v>
      </c>
      <c r="AC22" s="14">
        <f t="shared" si="17"/>
        <v>5.6</v>
      </c>
      <c r="AD22" s="14">
        <f t="shared" si="21"/>
        <v>5.5</v>
      </c>
      <c r="AE22" s="14">
        <f t="shared" si="18"/>
        <v>5.7777777777777777</v>
      </c>
      <c r="AR22" s="8">
        <v>2</v>
      </c>
      <c r="AS22" s="8" t="s">
        <v>31</v>
      </c>
      <c r="AT22" s="21">
        <v>-0.90909090909090906</v>
      </c>
      <c r="AU22" s="21">
        <v>-1</v>
      </c>
      <c r="AV22" s="21">
        <v>1.666666666666667</v>
      </c>
    </row>
    <row r="23" spans="8:58" x14ac:dyDescent="0.25">
      <c r="P23" s="5" t="s">
        <v>24</v>
      </c>
      <c r="Q23" s="3">
        <f>ROUNDUP((W13-(T13*R13/Q14))/(U13-(T13^2/Q14)),4)</f>
        <v>0.23039999999999999</v>
      </c>
      <c r="Z23" s="1">
        <v>2000</v>
      </c>
      <c r="AA23" s="1">
        <v>5</v>
      </c>
      <c r="AB23" s="14">
        <f t="shared" si="12"/>
        <v>5</v>
      </c>
      <c r="AC23" s="14">
        <f t="shared" si="17"/>
        <v>5.4</v>
      </c>
      <c r="AD23" s="14">
        <f t="shared" si="21"/>
        <v>5.75</v>
      </c>
      <c r="AE23" s="14">
        <f t="shared" si="18"/>
        <v>5.2222222222222223</v>
      </c>
      <c r="AR23" s="8">
        <v>3</v>
      </c>
      <c r="AS23" s="8" t="s">
        <v>31</v>
      </c>
      <c r="AT23" s="21">
        <v>-0.68181818181818177</v>
      </c>
      <c r="AU23" s="21">
        <v>-1.25</v>
      </c>
      <c r="AV23" s="21">
        <v>1.9047619047619051</v>
      </c>
    </row>
    <row r="24" spans="8:58" x14ac:dyDescent="0.25">
      <c r="P24" s="5" t="s">
        <v>25</v>
      </c>
      <c r="Q24" s="3">
        <f>ROUNDUP((R13-((W13-(T13*R13/Q14))/(U13-(T13^2/Q14)))*T13)/Q14,4)</f>
        <v>40.476900000000001</v>
      </c>
      <c r="Z24" s="1">
        <v>2001</v>
      </c>
      <c r="AA24" s="1">
        <v>4</v>
      </c>
      <c r="AB24" s="14">
        <f t="shared" si="12"/>
        <v>4.666666666666667</v>
      </c>
      <c r="AC24" s="14">
        <f t="shared" si="17"/>
        <v>5.2</v>
      </c>
      <c r="AD24" s="14">
        <f t="shared" si="21"/>
        <v>5.7142857142857144</v>
      </c>
      <c r="AE24" s="14">
        <f t="shared" si="18"/>
        <v>4.8888888888888893</v>
      </c>
      <c r="AR24" s="8">
        <v>4</v>
      </c>
      <c r="AS24" s="8" t="s">
        <v>31</v>
      </c>
      <c r="AT24" s="21">
        <v>-2.0454545454545454</v>
      </c>
      <c r="AU24" s="21">
        <v>-1.75</v>
      </c>
      <c r="AV24" s="21">
        <v>2.6190476190476195</v>
      </c>
    </row>
    <row r="25" spans="8:58" x14ac:dyDescent="0.25">
      <c r="Z25" s="1">
        <v>2002</v>
      </c>
      <c r="AA25" s="1">
        <v>5</v>
      </c>
      <c r="AB25" s="14">
        <f t="shared" si="12"/>
        <v>5</v>
      </c>
      <c r="AC25" s="14">
        <f t="shared" si="17"/>
        <v>5.4</v>
      </c>
      <c r="AD25" s="1" t="s">
        <v>31</v>
      </c>
      <c r="AE25" s="14">
        <f t="shared" si="18"/>
        <v>5.2222222222222223</v>
      </c>
      <c r="AR25" s="8">
        <v>5</v>
      </c>
      <c r="AS25" s="8" t="s">
        <v>31</v>
      </c>
      <c r="AT25" s="21">
        <v>-2.2727272727272725</v>
      </c>
      <c r="AU25" s="21">
        <v>-3.25</v>
      </c>
      <c r="AV25" s="21">
        <v>4.166666666666667</v>
      </c>
    </row>
    <row r="26" spans="8:58" x14ac:dyDescent="0.25">
      <c r="P26" s="5" t="str">
        <f>"y = "&amp;Q24&amp;" + "&amp;Q22&amp;" u + "&amp;Q23&amp;" u^2"</f>
        <v>y = 40.4769 + 4.0158 u + 0.2304 u^2</v>
      </c>
      <c r="Z26" s="1">
        <v>2003</v>
      </c>
      <c r="AA26" s="1">
        <v>6</v>
      </c>
      <c r="AB26" s="14">
        <f t="shared" si="12"/>
        <v>6</v>
      </c>
      <c r="AC26" s="1" t="s">
        <v>31</v>
      </c>
      <c r="AD26" s="1" t="s">
        <v>31</v>
      </c>
      <c r="AE26" s="14" t="s">
        <v>31</v>
      </c>
    </row>
    <row r="27" spans="8:58" x14ac:dyDescent="0.25">
      <c r="P27" s="5" t="s">
        <v>26</v>
      </c>
      <c r="Z27" s="1">
        <v>2004</v>
      </c>
      <c r="AA27" s="1">
        <v>7</v>
      </c>
      <c r="AB27" s="1" t="s">
        <v>31</v>
      </c>
      <c r="AC27" s="1" t="s">
        <v>31</v>
      </c>
      <c r="AD27" s="1" t="s">
        <v>31</v>
      </c>
      <c r="AE27" s="14" t="s">
        <v>31</v>
      </c>
      <c r="AR27" s="5" t="s">
        <v>68</v>
      </c>
      <c r="AS27" s="23"/>
      <c r="AT27" s="23"/>
      <c r="AU27" s="23"/>
      <c r="AV27" s="23"/>
    </row>
    <row r="28" spans="8:58" x14ac:dyDescent="0.25">
      <c r="P28" s="5" t="str">
        <f>"y = "&amp;Q24&amp;" + "&amp;Q22&amp;" (2x-11) + "&amp;Q23&amp;" (2x-11)^2"</f>
        <v>y = 40.4769 + 4.0158 (2x-11) + 0.2304 (2x-11)^2</v>
      </c>
      <c r="AR28" s="8" t="s">
        <v>0</v>
      </c>
      <c r="AS28" s="8" t="s">
        <v>59</v>
      </c>
      <c r="AT28" s="8" t="s">
        <v>60</v>
      </c>
      <c r="AU28" s="8" t="s">
        <v>61</v>
      </c>
      <c r="AV28" s="8" t="s">
        <v>62</v>
      </c>
    </row>
    <row r="29" spans="8:58" x14ac:dyDescent="0.25">
      <c r="P29" s="5" t="s">
        <v>27</v>
      </c>
      <c r="AH29" s="15"/>
      <c r="AR29" s="8">
        <v>1</v>
      </c>
      <c r="AS29" s="8">
        <v>4</v>
      </c>
      <c r="AT29" s="21">
        <v>3.5714285714285716</v>
      </c>
      <c r="AU29" s="21">
        <v>1.6666666666666667</v>
      </c>
      <c r="AV29" s="21">
        <v>2.7173913043478262</v>
      </c>
    </row>
    <row r="30" spans="8:58" x14ac:dyDescent="0.25">
      <c r="AH30" s="15" t="s">
        <v>50</v>
      </c>
      <c r="AR30" s="8">
        <v>2</v>
      </c>
      <c r="AS30" s="8">
        <v>6</v>
      </c>
      <c r="AT30" s="21">
        <v>7.1428571428571432</v>
      </c>
      <c r="AU30" s="21">
        <v>6.666666666666667</v>
      </c>
      <c r="AV30" s="21">
        <v>7.608695652173914</v>
      </c>
    </row>
    <row r="31" spans="8:58" x14ac:dyDescent="0.25">
      <c r="P31" s="5" t="s">
        <v>28</v>
      </c>
      <c r="AH31" s="16" t="s">
        <v>48</v>
      </c>
      <c r="AR31" s="8">
        <v>3</v>
      </c>
      <c r="AS31" s="8">
        <v>10</v>
      </c>
      <c r="AT31" s="21">
        <v>5.3571428571428577</v>
      </c>
      <c r="AU31" s="21">
        <v>8.3333333333333339</v>
      </c>
      <c r="AV31" s="21">
        <v>8.6956521739130448</v>
      </c>
    </row>
    <row r="32" spans="8:58" x14ac:dyDescent="0.25">
      <c r="P32" s="5" t="s">
        <v>29</v>
      </c>
      <c r="AH32" s="16" t="s">
        <v>57</v>
      </c>
      <c r="AR32" s="8">
        <v>4</v>
      </c>
      <c r="AS32" s="8">
        <v>12</v>
      </c>
      <c r="AT32" s="21">
        <v>16.071428571428573</v>
      </c>
      <c r="AU32" s="21">
        <v>11.666666666666668</v>
      </c>
      <c r="AV32" s="21">
        <v>11.956521739130435</v>
      </c>
    </row>
    <row r="33" spans="16:48" x14ac:dyDescent="0.25">
      <c r="P33" s="5" t="str">
        <f>"y = "&amp;24.1814-2.106*(11)+0.9216*(11^2)</f>
        <v>y = 112.529</v>
      </c>
      <c r="AH33" s="5" t="s">
        <v>58</v>
      </c>
      <c r="AR33" s="8">
        <v>5</v>
      </c>
      <c r="AS33" s="8">
        <v>18</v>
      </c>
      <c r="AT33" s="21">
        <v>17.857142857142858</v>
      </c>
      <c r="AU33" s="21">
        <v>21.666666666666668</v>
      </c>
      <c r="AV33" s="21">
        <v>19.021739130434785</v>
      </c>
    </row>
    <row r="34" spans="16:48" x14ac:dyDescent="0.25">
      <c r="AH34" s="16" t="s">
        <v>49</v>
      </c>
    </row>
    <row r="36" spans="16:48" x14ac:dyDescent="0.25">
      <c r="AH36" s="5" t="s">
        <v>79</v>
      </c>
    </row>
    <row r="38" spans="16:48" x14ac:dyDescent="0.25">
      <c r="AH38" s="5" t="s">
        <v>55</v>
      </c>
    </row>
    <row r="39" spans="16:48" x14ac:dyDescent="0.25">
      <c r="AH39" s="5" t="str">
        <f>"F 2026 Q2 = "&amp;0.4*AI11+(1-0.4)*AL11</f>
        <v>F 2026 Q2 = 30.996730368</v>
      </c>
    </row>
    <row r="55" spans="44:48" x14ac:dyDescent="0.25">
      <c r="AR55" s="28"/>
      <c r="AS55" s="28"/>
      <c r="AT55" s="28"/>
      <c r="AU55" s="28"/>
    </row>
    <row r="62" spans="44:48" x14ac:dyDescent="0.25">
      <c r="AR62" s="5"/>
    </row>
    <row r="64" spans="44:48" x14ac:dyDescent="0.25">
      <c r="AT64" s="17"/>
      <c r="AU64" s="17"/>
      <c r="AV64" s="17"/>
    </row>
    <row r="65" spans="44:48" x14ac:dyDescent="0.25">
      <c r="AT65" s="17"/>
      <c r="AU65" s="17"/>
      <c r="AV65" s="17"/>
    </row>
    <row r="66" spans="44:48" x14ac:dyDescent="0.25">
      <c r="AT66" s="17"/>
      <c r="AU66" s="17"/>
      <c r="AV66" s="17"/>
    </row>
    <row r="67" spans="44:48" x14ac:dyDescent="0.25">
      <c r="AT67" s="17"/>
      <c r="AU67" s="17"/>
      <c r="AV67" s="17"/>
    </row>
    <row r="68" spans="44:48" x14ac:dyDescent="0.25">
      <c r="AT68" s="17"/>
      <c r="AU68" s="17"/>
      <c r="AV68" s="17"/>
    </row>
    <row r="70" spans="44:48" x14ac:dyDescent="0.25">
      <c r="AR70" s="5"/>
    </row>
    <row r="72" spans="44:48" x14ac:dyDescent="0.25">
      <c r="AT72" s="17"/>
      <c r="AU72" s="17"/>
      <c r="AV72" s="17"/>
    </row>
    <row r="73" spans="44:48" x14ac:dyDescent="0.25">
      <c r="AT73" s="17"/>
      <c r="AU73" s="17"/>
      <c r="AV73" s="17"/>
    </row>
    <row r="74" spans="44:48" x14ac:dyDescent="0.25">
      <c r="AT74" s="17"/>
      <c r="AU74" s="17"/>
      <c r="AV74" s="17"/>
    </row>
    <row r="75" spans="44:48" x14ac:dyDescent="0.25">
      <c r="AT75" s="17"/>
      <c r="AU75" s="17"/>
      <c r="AV75" s="17"/>
    </row>
    <row r="76" spans="44:48" x14ac:dyDescent="0.25">
      <c r="AT76" s="17"/>
      <c r="AU76" s="17"/>
      <c r="AV76" s="17"/>
    </row>
  </sheetData>
  <mergeCells count="13">
    <mergeCell ref="BF2:BG2"/>
    <mergeCell ref="BF3:BG3"/>
    <mergeCell ref="AR55:AS55"/>
    <mergeCell ref="AT55:AU55"/>
    <mergeCell ref="AR1:AV1"/>
    <mergeCell ref="AR12:AS12"/>
    <mergeCell ref="AT12:AU12"/>
    <mergeCell ref="AY1:BC1"/>
    <mergeCell ref="B1:F1"/>
    <mergeCell ref="I1:M1"/>
    <mergeCell ref="P1:W1"/>
    <mergeCell ref="Z1:AE1"/>
    <mergeCell ref="AH1:AO1"/>
  </mergeCells>
  <phoneticPr fontId="6" type="noConversion"/>
  <pageMargins left="0.7" right="0.7" top="0.75" bottom="0.75" header="0.3" footer="0.3"/>
  <ignoredErrors>
    <ignoredError sqref="AB4 AB5:AB26 AC5:AC25 AD6:AD24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25MSQUFPY0002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Vedhanandh</dc:creator>
  <cp:lastModifiedBy>Rohit Vedhanandh</cp:lastModifiedBy>
  <dcterms:created xsi:type="dcterms:W3CDTF">2026-09-22T01:18:12Z</dcterms:created>
  <dcterms:modified xsi:type="dcterms:W3CDTF">2026-09-24T04:44:13Z</dcterms:modified>
</cp:coreProperties>
</file>